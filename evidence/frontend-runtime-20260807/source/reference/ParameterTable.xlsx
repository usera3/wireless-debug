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Repos\Midea\ecm_out_fan_ng2\"/>
    </mc:Choice>
  </mc:AlternateContent>
  <bookViews>
    <workbookView xWindow="-108" yWindow="-108" windowWidth="25824" windowHeight="15504" activeTab="13"/>
  </bookViews>
  <sheets>
    <sheet name="Settings" sheetId="17" r:id="rId1"/>
    <sheet name="BASE" sheetId="30" r:id="rId2"/>
    <sheet name="MOTOR0" sheetId="26" r:id="rId3"/>
    <sheet name="MOTOR1" sheetId="39" r:id="rId4"/>
    <sheet name="MOTOR2" sheetId="40" r:id="rId5"/>
    <sheet name="MOTOR3" sheetId="41" r:id="rId6"/>
    <sheet name="INV" sheetId="32" r:id="rId7"/>
    <sheet name="ALARM" sheetId="19" r:id="rId8"/>
    <sheet name="CTRL" sheetId="33" r:id="rId9"/>
    <sheet name="SYS" sheetId="34" r:id="rId10"/>
    <sheet name="USER" sheetId="35" r:id="rId11"/>
    <sheet name="CMD" sheetId="36" r:id="rId12"/>
    <sheet name="STATUS" sheetId="37" r:id="rId13"/>
    <sheet name="PWM" sheetId="38" r:id="rId1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33" l="1"/>
  <c r="N34" i="33"/>
  <c r="N14" i="41" l="1"/>
  <c r="S4" i="41"/>
  <c r="N14" i="40"/>
  <c r="S4" i="40"/>
  <c r="N14" i="39"/>
  <c r="S4" i="39"/>
  <c r="N4" i="30" l="1"/>
  <c r="L6" i="36" l="1"/>
  <c r="M6" i="36" s="1"/>
  <c r="L5" i="36"/>
  <c r="M5" i="36" s="1"/>
  <c r="N48" i="33"/>
  <c r="N36" i="33" l="1"/>
  <c r="N14" i="26"/>
  <c r="N31" i="33" l="1"/>
  <c r="N18" i="33"/>
  <c r="S4" i="30"/>
  <c r="S4" i="32"/>
  <c r="S7" i="30"/>
  <c r="S6" i="30"/>
  <c r="S5" i="30"/>
  <c r="S4" i="26"/>
  <c r="S4" i="19"/>
</calcChain>
</file>

<file path=xl/sharedStrings.xml><?xml version="1.0" encoding="utf-8"?>
<sst xmlns="http://schemas.openxmlformats.org/spreadsheetml/2006/main" count="1224" uniqueCount="635">
  <si>
    <t>Page End</t>
    <phoneticPr fontId="1" type="noConversion"/>
  </si>
  <si>
    <t>参数序号</t>
    <phoneticPr fontId="1" type="noConversion"/>
  </si>
  <si>
    <t>最大值</t>
    <phoneticPr fontId="1" type="noConversion"/>
  </si>
  <si>
    <t>最小值</t>
    <phoneticPr fontId="1" type="noConversion"/>
  </si>
  <si>
    <t>默认值</t>
    <phoneticPr fontId="1" type="noConversion"/>
  </si>
  <si>
    <t>运行时写入</t>
    <phoneticPr fontId="1" type="noConversion"/>
  </si>
  <si>
    <t>只读</t>
    <phoneticPr fontId="1" type="noConversion"/>
  </si>
  <si>
    <t>存储</t>
    <phoneticPr fontId="1" type="noConversion"/>
  </si>
  <si>
    <t>复位</t>
    <phoneticPr fontId="1" type="noConversion"/>
  </si>
  <si>
    <t>限制</t>
    <phoneticPr fontId="1" type="noConversion"/>
  </si>
  <si>
    <t>小数点</t>
    <phoneticPr fontId="1" type="noConversion"/>
  </si>
  <si>
    <t>符号</t>
    <phoneticPr fontId="1" type="noConversion"/>
  </si>
  <si>
    <t>隐藏</t>
    <phoneticPr fontId="1" type="noConversion"/>
  </si>
  <si>
    <t>计算默认值</t>
    <phoneticPr fontId="1" type="noConversion"/>
  </si>
  <si>
    <t>值</t>
    <phoneticPr fontId="2" type="noConversion"/>
  </si>
  <si>
    <t>参数配置</t>
    <phoneticPr fontId="2" type="noConversion"/>
  </si>
  <si>
    <t>说明</t>
    <phoneticPr fontId="2" type="noConversion"/>
  </si>
  <si>
    <t>备用属性</t>
    <phoneticPr fontId="1" type="noConversion"/>
  </si>
  <si>
    <t>参数是否具有文档属性</t>
    <phoneticPr fontId="2" type="noConversion"/>
  </si>
  <si>
    <t>Name</t>
    <phoneticPr fontId="1" type="noConversion"/>
  </si>
  <si>
    <t>Unit</t>
    <phoneticPr fontId="1" type="noConversion"/>
  </si>
  <si>
    <t>Desc</t>
    <phoneticPr fontId="1" type="noConversion"/>
  </si>
  <si>
    <t>char*</t>
    <phoneticPr fontId="1" type="noConversion"/>
  </si>
  <si>
    <t>固定数据类型，不可修改</t>
    <phoneticPr fontId="1" type="noConversion"/>
  </si>
  <si>
    <t>BasicField</t>
    <phoneticPr fontId="1" type="noConversion"/>
  </si>
  <si>
    <t>ExtField</t>
    <phoneticPr fontId="1" type="noConversion"/>
  </si>
  <si>
    <t>是否必须</t>
    <phoneticPr fontId="2" type="noConversion"/>
  </si>
  <si>
    <t>是</t>
    <phoneticPr fontId="2" type="noConversion"/>
  </si>
  <si>
    <t>SYS_PARA_HAS_EXT_FIELD</t>
    <phoneticPr fontId="2" type="noConversion"/>
  </si>
  <si>
    <t>浮点</t>
    <phoneticPr fontId="1" type="noConversion"/>
  </si>
  <si>
    <t>000-000</t>
    <phoneticPr fontId="1" type="noConversion"/>
  </si>
  <si>
    <t>000-001</t>
  </si>
  <si>
    <t>000-002</t>
  </si>
  <si>
    <t>000-003</t>
  </si>
  <si>
    <t>001-000</t>
    <phoneticPr fontId="1" type="noConversion"/>
  </si>
  <si>
    <t>001-002</t>
  </si>
  <si>
    <t>001-003</t>
  </si>
  <si>
    <t>001-004</t>
  </si>
  <si>
    <t>001-005</t>
  </si>
  <si>
    <t>001-006</t>
  </si>
  <si>
    <t>003-000</t>
    <phoneticPr fontId="1" type="noConversion"/>
  </si>
  <si>
    <t>003-001</t>
  </si>
  <si>
    <t>003-002</t>
  </si>
  <si>
    <t>003-003</t>
  </si>
  <si>
    <t>003-004</t>
  </si>
  <si>
    <t>003-005</t>
  </si>
  <si>
    <t>002-000</t>
    <phoneticPr fontId="1" type="noConversion"/>
  </si>
  <si>
    <t>002-001</t>
  </si>
  <si>
    <t>002-002</t>
  </si>
  <si>
    <t>002-003</t>
  </si>
  <si>
    <t>003-006</t>
  </si>
  <si>
    <t>003-007</t>
  </si>
  <si>
    <t>003-008</t>
  </si>
  <si>
    <t>003-009</t>
  </si>
  <si>
    <t>003-010</t>
  </si>
  <si>
    <t>003-011</t>
  </si>
  <si>
    <t>003-012</t>
  </si>
  <si>
    <t>003-013</t>
  </si>
  <si>
    <t>003-014</t>
  </si>
  <si>
    <t>JD</t>
    <phoneticPr fontId="1" type="noConversion"/>
  </si>
  <si>
    <t>INNER_RATE</t>
    <phoneticPr fontId="1" type="noConversion"/>
  </si>
  <si>
    <t>POLE_PAIRS</t>
    <phoneticPr fontId="1" type="noConversion"/>
  </si>
  <si>
    <t>RS_OHM</t>
    <phoneticPr fontId="1" type="noConversion"/>
  </si>
  <si>
    <t>LD_MH</t>
    <phoneticPr fontId="1" type="noConversion"/>
  </si>
  <si>
    <t>LQ_MH</t>
    <phoneticPr fontId="1" type="noConversion"/>
  </si>
  <si>
    <t>FLUX_WB</t>
    <phoneticPr fontId="1" type="noConversion"/>
  </si>
  <si>
    <t>I_CHAR</t>
    <phoneticPr fontId="1" type="noConversion"/>
  </si>
  <si>
    <t>ID_MAX</t>
    <phoneticPr fontId="1" type="noConversion"/>
  </si>
  <si>
    <t>ID_MIN</t>
    <phoneticPr fontId="1" type="noConversion"/>
  </si>
  <si>
    <t>SPD_RPM_MAX</t>
    <phoneticPr fontId="1" type="noConversion"/>
  </si>
  <si>
    <t>SPD_RPM_MIN</t>
    <phoneticPr fontId="1" type="noConversion"/>
  </si>
  <si>
    <t>1e-7 km.m^2</t>
    <phoneticPr fontId="1" type="noConversion"/>
  </si>
  <si>
    <t>0.01 Ohm</t>
    <phoneticPr fontId="1" type="noConversion"/>
  </si>
  <si>
    <t>0.01 mH</t>
    <phoneticPr fontId="1" type="noConversion"/>
  </si>
  <si>
    <t>0.01 A</t>
    <phoneticPr fontId="1" type="noConversion"/>
  </si>
  <si>
    <t>rpm</t>
    <phoneticPr fontId="1" type="noConversion"/>
  </si>
  <si>
    <t>1e-5 Wb</t>
    <phoneticPr fontId="1" type="noConversion"/>
  </si>
  <si>
    <t>0.1 W</t>
    <phoneticPr fontId="1" type="noConversion"/>
  </si>
  <si>
    <t>0.1 C</t>
    <phoneticPr fontId="1" type="noConversion"/>
  </si>
  <si>
    <t>0.1 V</t>
    <phoneticPr fontId="1" type="noConversion"/>
  </si>
  <si>
    <t>ms</t>
    <phoneticPr fontId="1" type="noConversion"/>
  </si>
  <si>
    <t xml:space="preserve">OV_LV1_V   </t>
  </si>
  <si>
    <t xml:space="preserve">OV_LV2_V   </t>
  </si>
  <si>
    <t xml:space="preserve">OV_LV3_V   </t>
  </si>
  <si>
    <t xml:space="preserve">UV_LV1_V   </t>
  </si>
  <si>
    <t xml:space="preserve">OC_A       </t>
  </si>
  <si>
    <t xml:space="preserve">LP_CUR_A   </t>
  </si>
  <si>
    <t xml:space="preserve">STALL_COEF         </t>
  </si>
  <si>
    <t>001-007</t>
  </si>
  <si>
    <t>001-008</t>
  </si>
  <si>
    <t>001-009</t>
  </si>
  <si>
    <t>001-010</t>
  </si>
  <si>
    <t>001-011</t>
  </si>
  <si>
    <t>001-012</t>
  </si>
  <si>
    <t>001-013</t>
  </si>
  <si>
    <t>001-014</t>
  </si>
  <si>
    <t>POLEPAIRS_BASE</t>
    <phoneticPr fontId="1" type="noConversion"/>
  </si>
  <si>
    <t>VBASE</t>
    <phoneticPr fontId="1" type="noConversion"/>
  </si>
  <si>
    <t>Hz</t>
    <phoneticPr fontId="1" type="noConversion"/>
  </si>
  <si>
    <t>IGBT_TEMP_MAX</t>
    <phoneticPr fontId="1" type="noConversion"/>
  </si>
  <si>
    <t>Alias</t>
    <phoneticPr fontId="1" type="noConversion"/>
  </si>
  <si>
    <t>本列必须包含，值可以为空</t>
  </si>
  <si>
    <t>参数别名</t>
  </si>
  <si>
    <t>本列必须包含，值可以为空</t>
    <phoneticPr fontId="1" type="noConversion"/>
  </si>
  <si>
    <t>IBASE</t>
    <phoneticPr fontId="1" type="noConversion"/>
  </si>
  <si>
    <t>FBASE</t>
    <phoneticPr fontId="1" type="noConversion"/>
  </si>
  <si>
    <t>M_POWER_MAX</t>
    <phoneticPr fontId="1" type="noConversion"/>
  </si>
  <si>
    <t>INV_POWER_MAX</t>
    <phoneticPr fontId="1" type="noConversion"/>
  </si>
  <si>
    <t>INV_I_MAX</t>
    <phoneticPr fontId="1" type="noConversion"/>
  </si>
  <si>
    <t>INV_TEMP_MAX</t>
    <phoneticPr fontId="1" type="noConversion"/>
  </si>
  <si>
    <t>M_IMAX</t>
    <phoneticPr fontId="1" type="noConversion"/>
  </si>
  <si>
    <t>M_TEMP_MAX</t>
    <phoneticPr fontId="1" type="noConversion"/>
  </si>
  <si>
    <t>宏定义参数</t>
    <phoneticPr fontId="2" type="noConversion"/>
  </si>
  <si>
    <t>值</t>
    <phoneticPr fontId="2" type="noConversion"/>
  </si>
  <si>
    <t>说明</t>
    <phoneticPr fontId="2" type="noConversion"/>
  </si>
  <si>
    <t>USER_MOD_MODE_SVPWM_DR</t>
    <phoneticPr fontId="2" type="noConversion"/>
  </si>
  <si>
    <t>USER_MOD_MODE_SVPWM_SR</t>
    <phoneticPr fontId="2" type="noConversion"/>
  </si>
  <si>
    <t>USER_MOD_MODE_TSPWM</t>
    <phoneticPr fontId="2" type="noConversion"/>
  </si>
  <si>
    <t>USER_MOD_MODE</t>
    <phoneticPr fontId="2" type="noConversion"/>
  </si>
  <si>
    <t>USER_OBS_FLUX</t>
    <phoneticPr fontId="2" type="noConversion"/>
  </si>
  <si>
    <t>USER_OBS_RED</t>
    <phoneticPr fontId="2" type="noConversion"/>
  </si>
  <si>
    <t>USER_OBS</t>
    <phoneticPr fontId="2" type="noConversion"/>
  </si>
  <si>
    <t>USER_ADV_HV_CHARGE_MS</t>
    <phoneticPr fontId="2" type="noConversion"/>
  </si>
  <si>
    <t>USER_ADV_ADC_CALIB_NUM_EXP</t>
    <phoneticPr fontId="2" type="noConversion"/>
  </si>
  <si>
    <t>USER_ADV_ADC_CALIB_NUM</t>
    <phoneticPr fontId="2" type="noConversion"/>
  </si>
  <si>
    <t>USER_ADV_ADC_CALIB_NUM2</t>
    <phoneticPr fontId="2" type="noConversion"/>
  </si>
  <si>
    <t>USER_ADV_ADC_HV_CHARGE_NUM</t>
    <phoneticPr fontId="2" type="noConversion"/>
  </si>
  <si>
    <t>USER_ADV_ADC_CALIB_VAC_PERIOD</t>
    <phoneticPr fontId="2" type="noConversion"/>
  </si>
  <si>
    <t>USER_ADV_ADC_CALIB_VAC_NUM</t>
    <phoneticPr fontId="2" type="noConversion"/>
  </si>
  <si>
    <t>(1 &lt;&lt; USER_ADV_ADC_CALIB_NUM_EXP)</t>
    <phoneticPr fontId="2" type="noConversion"/>
  </si>
  <si>
    <t>(HW_INIT_FTBC_HZ / (1000 / USER_ADV_HV_CHARGE_MS))</t>
    <phoneticPr fontId="2" type="noConversion"/>
  </si>
  <si>
    <t>(HW_INIT_FTBC_HZ * USER_ADV_ADC_CALIB_VAC_PERIOD / HW_UAC_FREQ_HZ)</t>
    <phoneticPr fontId="2" type="noConversion"/>
  </si>
  <si>
    <t>004-000</t>
    <phoneticPr fontId="1" type="noConversion"/>
  </si>
  <si>
    <t>004-001</t>
  </si>
  <si>
    <t>004-002</t>
  </si>
  <si>
    <t>004-003</t>
  </si>
  <si>
    <t>004-004</t>
  </si>
  <si>
    <t>004-005</t>
  </si>
  <si>
    <t>004-008</t>
  </si>
  <si>
    <t>004-009</t>
  </si>
  <si>
    <t>004-010</t>
  </si>
  <si>
    <t>004-011</t>
  </si>
  <si>
    <t>004-012</t>
  </si>
  <si>
    <t>004-013</t>
  </si>
  <si>
    <t>Obs_bSpeed</t>
    <phoneticPr fontId="1" type="noConversion"/>
  </si>
  <si>
    <t>Obs_kSpeed</t>
    <phoneticPr fontId="1" type="noConversion"/>
  </si>
  <si>
    <t>Obs_SpdLpfHz</t>
    <phoneticPr fontId="1" type="noConversion"/>
  </si>
  <si>
    <t>SpdAccRpmPs</t>
    <phoneticPr fontId="1" type="noConversion"/>
  </si>
  <si>
    <t>SpdDecRpmPs</t>
    <phoneticPr fontId="1" type="noConversion"/>
  </si>
  <si>
    <t>IdBandHz</t>
    <phoneticPr fontId="1" type="noConversion"/>
  </si>
  <si>
    <t>IqBandHz</t>
    <phoneticPr fontId="1" type="noConversion"/>
  </si>
  <si>
    <t>SpdBandHz</t>
    <phoneticPr fontId="1" type="noConversion"/>
  </si>
  <si>
    <t>SpdPiM</t>
    <phoneticPr fontId="1" type="noConversion"/>
  </si>
  <si>
    <t>SpdPiRatioJm</t>
    <phoneticPr fontId="1" type="noConversion"/>
  </si>
  <si>
    <t>SpdAntiOvrShootFlag</t>
    <phoneticPr fontId="1" type="noConversion"/>
  </si>
  <si>
    <t>MaxDuty</t>
    <phoneticPr fontId="1" type="noConversion"/>
  </si>
  <si>
    <t>004-014</t>
  </si>
  <si>
    <t>PosAccHzPs</t>
    <phoneticPr fontId="1" type="noConversion"/>
  </si>
  <si>
    <t>0.01A</t>
    <phoneticPr fontId="1" type="noConversion"/>
  </si>
  <si>
    <t>FwCoefAbsIdMax</t>
    <phoneticPr fontId="1" type="noConversion"/>
  </si>
  <si>
    <t>FwEnable</t>
    <phoneticPr fontId="1" type="noConversion"/>
  </si>
  <si>
    <t>FwDeepCoef</t>
    <phoneticPr fontId="1" type="noConversion"/>
  </si>
  <si>
    <t>FwCoefAbsIdMin</t>
    <phoneticPr fontId="1" type="noConversion"/>
  </si>
  <si>
    <t>FwCoefMax</t>
    <phoneticPr fontId="1" type="noConversion"/>
  </si>
  <si>
    <t>FwCoefDutyMax</t>
    <phoneticPr fontId="1" type="noConversion"/>
  </si>
  <si>
    <t>FwIdMin</t>
    <phoneticPr fontId="1" type="noConversion"/>
  </si>
  <si>
    <t>FwIqMax</t>
    <phoneticPr fontId="1" type="noConversion"/>
  </si>
  <si>
    <t>FwIqMin</t>
    <phoneticPr fontId="1" type="noConversion"/>
  </si>
  <si>
    <t>FwKp</t>
    <phoneticPr fontId="1" type="noConversion"/>
  </si>
  <si>
    <t>FwKit</t>
    <phoneticPr fontId="1" type="noConversion"/>
  </si>
  <si>
    <t>FwIdCharacter</t>
    <phoneticPr fontId="1" type="noConversion"/>
  </si>
  <si>
    <t>DeadBandTimeNs</t>
    <phoneticPr fontId="1" type="noConversion"/>
  </si>
  <si>
    <t>KcoefVtPerAp</t>
    <phoneticPr fontId="1" type="noConversion"/>
  </si>
  <si>
    <t>ObsMCoef</t>
    <phoneticPr fontId="1" type="noConversion"/>
  </si>
  <si>
    <t>ObsPllBand</t>
    <phoneticPr fontId="1" type="noConversion"/>
  </si>
  <si>
    <t>MixDuty</t>
    <phoneticPr fontId="1" type="noConversion"/>
  </si>
  <si>
    <t>USER_HVIC_CHARGE_MS</t>
    <phoneticPr fontId="2" type="noConversion"/>
  </si>
  <si>
    <t>0.1V</t>
    <phoneticPr fontId="1" type="noConversion"/>
  </si>
  <si>
    <t>0.1Hz</t>
    <phoneticPr fontId="1" type="noConversion"/>
  </si>
  <si>
    <t>005-000</t>
    <phoneticPr fontId="1" type="noConversion"/>
  </si>
  <si>
    <t>005-001</t>
  </si>
  <si>
    <t>005-002</t>
  </si>
  <si>
    <t>005-003</t>
  </si>
  <si>
    <t>SaveEnable</t>
    <phoneticPr fontId="1" type="noConversion"/>
  </si>
  <si>
    <t>SaveState</t>
    <phoneticPr fontId="1" type="noConversion"/>
  </si>
  <si>
    <t>SavedReadEnable</t>
    <phoneticPr fontId="1" type="noConversion"/>
  </si>
  <si>
    <t>SavedReadState</t>
    <phoneticPr fontId="1" type="noConversion"/>
  </si>
  <si>
    <t>006-000</t>
    <phoneticPr fontId="1" type="noConversion"/>
  </si>
  <si>
    <t>OffDelayTap1</t>
    <phoneticPr fontId="1" type="noConversion"/>
  </si>
  <si>
    <t>OffDelayTap2</t>
    <phoneticPr fontId="1" type="noConversion"/>
  </si>
  <si>
    <t>006-002</t>
  </si>
  <si>
    <t>006-003</t>
  </si>
  <si>
    <t>006-004</t>
  </si>
  <si>
    <t>006-005</t>
  </si>
  <si>
    <t>006-006</t>
  </si>
  <si>
    <t>006-007</t>
  </si>
  <si>
    <t>006-008</t>
  </si>
  <si>
    <t>006-009</t>
  </si>
  <si>
    <t>TorqueTap1</t>
    <phoneticPr fontId="1" type="noConversion"/>
  </si>
  <si>
    <t>006-010</t>
  </si>
  <si>
    <t>006-011</t>
  </si>
  <si>
    <t>006-012</t>
  </si>
  <si>
    <t>006-013</t>
  </si>
  <si>
    <t>006-014</t>
  </si>
  <si>
    <t>006-015</t>
  </si>
  <si>
    <t>006-016</t>
  </si>
  <si>
    <t>006-017</t>
  </si>
  <si>
    <t>006-018</t>
  </si>
  <si>
    <t>OnDelayTap1</t>
    <phoneticPr fontId="1" type="noConversion"/>
  </si>
  <si>
    <t>006-019</t>
  </si>
  <si>
    <t>006-020</t>
  </si>
  <si>
    <t>006-021</t>
  </si>
  <si>
    <t>006-022</t>
  </si>
  <si>
    <t>006-023</t>
  </si>
  <si>
    <t>006-024</t>
  </si>
  <si>
    <t>006-025</t>
  </si>
  <si>
    <t>006-026</t>
  </si>
  <si>
    <t>006-027</t>
  </si>
  <si>
    <t>EcmVoltLevel</t>
    <phoneticPr fontId="1" type="noConversion"/>
  </si>
  <si>
    <t>006-028</t>
  </si>
  <si>
    <t>EcmRotateDir</t>
    <phoneticPr fontId="1" type="noConversion"/>
  </si>
  <si>
    <t>006-029</t>
  </si>
  <si>
    <t>EcmPowerLevel</t>
    <phoneticPr fontId="1" type="noConversion"/>
  </si>
  <si>
    <t>EcmBreakEnable</t>
    <phoneticPr fontId="1" type="noConversion"/>
  </si>
  <si>
    <t>StartUpPara0</t>
    <phoneticPr fontId="1" type="noConversion"/>
  </si>
  <si>
    <t>StartUpPara1</t>
  </si>
  <si>
    <t>StartUpPara2</t>
  </si>
  <si>
    <t>StartUpPara3</t>
  </si>
  <si>
    <t>StartUpPara4</t>
  </si>
  <si>
    <t>StartUpPara5</t>
  </si>
  <si>
    <t>StartUpPara6</t>
  </si>
  <si>
    <t>StartUpPara7</t>
  </si>
  <si>
    <t>StartUpPara8</t>
  </si>
  <si>
    <t>StartUpPara9</t>
  </si>
  <si>
    <t>StartUpPara10</t>
  </si>
  <si>
    <t>FactoryEMF</t>
    <phoneticPr fontId="1" type="noConversion"/>
  </si>
  <si>
    <t>005-004</t>
  </si>
  <si>
    <t>SysReset</t>
    <phoneticPr fontId="1" type="noConversion"/>
  </si>
  <si>
    <t>0.1V</t>
    <phoneticPr fontId="1" type="noConversion"/>
  </si>
  <si>
    <t>Hz</t>
    <phoneticPr fontId="1" type="noConversion"/>
  </si>
  <si>
    <t>rpm</t>
    <phoneticPr fontId="1" type="noConversion"/>
  </si>
  <si>
    <t>CvbVdcStart</t>
    <phoneticPr fontId="1" type="noConversion"/>
  </si>
  <si>
    <t>CvbVdcLagAngle</t>
    <phoneticPr fontId="1" type="noConversion"/>
  </si>
  <si>
    <t>CvbAngleLagMax</t>
    <phoneticPr fontId="1" type="noConversion"/>
  </si>
  <si>
    <t>0.01A</t>
    <phoneticPr fontId="1" type="noConversion"/>
  </si>
  <si>
    <t>deg</t>
    <phoneticPr fontId="1" type="noConversion"/>
  </si>
  <si>
    <t>rpm/s</t>
    <phoneticPr fontId="1" type="noConversion"/>
  </si>
  <si>
    <t>0.01Hz/s</t>
    <phoneticPr fontId="1" type="noConversion"/>
  </si>
  <si>
    <t>007-000</t>
    <phoneticPr fontId="1" type="noConversion"/>
  </si>
  <si>
    <t>007-001</t>
  </si>
  <si>
    <t>CmdMode</t>
    <phoneticPr fontId="1" type="noConversion"/>
  </si>
  <si>
    <t>CmdSpd</t>
    <phoneticPr fontId="1" type="noConversion"/>
  </si>
  <si>
    <t>007-002</t>
  </si>
  <si>
    <t>007-003</t>
  </si>
  <si>
    <t>CmdTorq</t>
    <phoneticPr fontId="1" type="noConversion"/>
  </si>
  <si>
    <t>CmdSource</t>
    <phoneticPr fontId="1" type="noConversion"/>
  </si>
  <si>
    <t>DcpMode</t>
    <phoneticPr fontId="1" type="noConversion"/>
  </si>
  <si>
    <t xml:space="preserve">0-不解耦，1-反馈解耦，2-前馈解耦 </t>
  </si>
  <si>
    <t xml:space="preserve">IPM_OT_0C  </t>
    <phoneticPr fontId="1" type="noConversion"/>
  </si>
  <si>
    <t>008-000</t>
    <phoneticPr fontId="1" type="noConversion"/>
  </si>
  <si>
    <t>008-002</t>
  </si>
  <si>
    <t>008-003</t>
  </si>
  <si>
    <t>008-004</t>
  </si>
  <si>
    <t>MotorTemp</t>
    <phoneticPr fontId="1" type="noConversion"/>
  </si>
  <si>
    <t>AlmCode</t>
    <phoneticPr fontId="1" type="noConversion"/>
  </si>
  <si>
    <t>MotorSpd</t>
    <phoneticPr fontId="1" type="noConversion"/>
  </si>
  <si>
    <t>MotorIq</t>
    <phoneticPr fontId="1" type="noConversion"/>
  </si>
  <si>
    <t>PcbTemp</t>
    <phoneticPr fontId="1" type="noConversion"/>
  </si>
  <si>
    <t>Vdc</t>
    <phoneticPr fontId="1" type="noConversion"/>
  </si>
  <si>
    <t>MotorPower</t>
    <phoneticPr fontId="1" type="noConversion"/>
  </si>
  <si>
    <t>ObsDampingRatio</t>
    <phoneticPr fontId="1" type="noConversion"/>
  </si>
  <si>
    <t>ObsCrossFreq</t>
    <phoneticPr fontId="1" type="noConversion"/>
  </si>
  <si>
    <t>rpm</t>
    <phoneticPr fontId="1" type="noConversion"/>
  </si>
  <si>
    <t>0.01A</t>
    <phoneticPr fontId="1" type="noConversion"/>
  </si>
  <si>
    <t>W</t>
    <phoneticPr fontId="1" type="noConversion"/>
  </si>
  <si>
    <t>0.1V</t>
    <phoneticPr fontId="1" type="noConversion"/>
  </si>
  <si>
    <t>0.01A</t>
    <phoneticPr fontId="1" type="noConversion"/>
  </si>
  <si>
    <t>rpm</t>
    <phoneticPr fontId="1" type="noConversion"/>
  </si>
  <si>
    <t>s</t>
    <phoneticPr fontId="1" type="noConversion"/>
  </si>
  <si>
    <r>
      <t>1-</t>
    </r>
    <r>
      <rPr>
        <sz val="10"/>
        <rFont val="宋体"/>
        <family val="3"/>
        <charset val="134"/>
      </rPr>
      <t>转速控制，2-转矩控制</t>
    </r>
    <phoneticPr fontId="1" type="noConversion"/>
  </si>
  <si>
    <r>
      <rPr>
        <sz val="10"/>
        <rFont val="Times New Roman"/>
        <family val="1"/>
      </rPr>
      <t>°</t>
    </r>
    <r>
      <rPr>
        <sz val="10"/>
        <rFont val="Arial"/>
        <family val="2"/>
      </rPr>
      <t>C</t>
    </r>
    <phoneticPr fontId="1" type="noConversion"/>
  </si>
  <si>
    <t>us</t>
    <phoneticPr fontId="1" type="noConversion"/>
  </si>
  <si>
    <r>
      <t>0.1</t>
    </r>
    <r>
      <rPr>
        <sz val="10"/>
        <rFont val="Times New Roman"/>
        <family val="1"/>
      </rPr>
      <t>°</t>
    </r>
    <r>
      <rPr>
        <sz val="10"/>
        <rFont val="Arial"/>
        <family val="2"/>
      </rPr>
      <t>C</t>
    </r>
    <phoneticPr fontId="1" type="noConversion"/>
  </si>
  <si>
    <t>Q7</t>
    <phoneticPr fontId="1" type="noConversion"/>
  </si>
  <si>
    <t>002-004</t>
  </si>
  <si>
    <t>002-005</t>
  </si>
  <si>
    <t>002-006</t>
  </si>
  <si>
    <t>寄存器值</t>
    <phoneticPr fontId="1" type="noConversion"/>
  </si>
  <si>
    <t>002-007</t>
  </si>
  <si>
    <t>002-008</t>
  </si>
  <si>
    <t>002-009</t>
  </si>
  <si>
    <t>002-010</t>
  </si>
  <si>
    <t>002-011</t>
  </si>
  <si>
    <t>IGBT_TEMP1_REG</t>
    <phoneticPr fontId="1" type="noConversion"/>
  </si>
  <si>
    <t>IGBT_TEMP2_REG</t>
    <phoneticPr fontId="1" type="noConversion"/>
  </si>
  <si>
    <t>IGBT_TEMP3_REG</t>
    <phoneticPr fontId="1" type="noConversion"/>
  </si>
  <si>
    <t>IGBT_TEMP4_REG</t>
    <phoneticPr fontId="1" type="noConversion"/>
  </si>
  <si>
    <t>IGBT_TEMP1</t>
    <phoneticPr fontId="1" type="noConversion"/>
  </si>
  <si>
    <t>IGBT_TEMP2</t>
    <phoneticPr fontId="1" type="noConversion"/>
  </si>
  <si>
    <t>IGBT_TEMP3</t>
    <phoneticPr fontId="1" type="noConversion"/>
  </si>
  <si>
    <t>IGBT_TEMP4</t>
  </si>
  <si>
    <t>PwrLimIqMax</t>
    <phoneticPr fontId="1" type="noConversion"/>
  </si>
  <si>
    <t>0.1W</t>
    <phoneticPr fontId="1" type="noConversion"/>
  </si>
  <si>
    <t>PwrLim</t>
    <phoneticPr fontId="1" type="noConversion"/>
  </si>
  <si>
    <t>PwrLimErr</t>
    <phoneticPr fontId="1" type="noConversion"/>
  </si>
  <si>
    <r>
      <rPr>
        <sz val="10"/>
        <rFont val="宋体"/>
        <family val="3"/>
        <charset val="134"/>
      </rPr>
      <t>过压等级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电压</t>
    </r>
    <r>
      <rPr>
        <sz val="10"/>
        <rFont val="Arial"/>
        <family val="2"/>
      </rPr>
      <t xml:space="preserve"> &lt; </t>
    </r>
    <r>
      <rPr>
        <sz val="10"/>
        <rFont val="宋体"/>
        <family val="3"/>
        <charset val="134"/>
      </rPr>
      <t>过压等级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压</t>
    </r>
    <r>
      <rPr>
        <sz val="10"/>
        <rFont val="Arial"/>
        <family val="2"/>
      </rPr>
      <t xml:space="preserve"> &lt; </t>
    </r>
    <r>
      <rPr>
        <sz val="10"/>
        <rFont val="宋体"/>
        <family val="3"/>
        <charset val="134"/>
      </rPr>
      <t>过压等级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压</t>
    </r>
    <phoneticPr fontId="1" type="noConversion"/>
  </si>
  <si>
    <r>
      <t>0-</t>
    </r>
    <r>
      <rPr>
        <sz val="10"/>
        <rFont val="宋体"/>
        <family val="3"/>
        <charset val="134"/>
      </rPr>
      <t>上位机，1-挡位工装</t>
    </r>
    <phoneticPr fontId="1" type="noConversion"/>
  </si>
  <si>
    <t>009-000</t>
    <phoneticPr fontId="1" type="noConversion"/>
  </si>
  <si>
    <t>009-001</t>
  </si>
  <si>
    <t>009-002</t>
  </si>
  <si>
    <t>009-003</t>
  </si>
  <si>
    <t>CvbVdcEndLimIq</t>
    <phoneticPr fontId="1" type="noConversion"/>
  </si>
  <si>
    <t>CvbIdStep</t>
    <phoneticPr fontId="1" type="noConversion"/>
  </si>
  <si>
    <t>004-006</t>
  </si>
  <si>
    <t>004-007</t>
  </si>
  <si>
    <t>CvbIqAbsMax</t>
    <phoneticPr fontId="1" type="noConversion"/>
  </si>
  <si>
    <t>CvbIdAbsMax</t>
    <phoneticPr fontId="1" type="noConversion"/>
  </si>
  <si>
    <t>CvbIdAbsMin</t>
    <phoneticPr fontId="1" type="noConversion"/>
  </si>
  <si>
    <t>001-001</t>
  </si>
  <si>
    <t>FgHandShake</t>
    <phoneticPr fontId="1" type="noConversion"/>
  </si>
  <si>
    <t>2-277V</t>
  </si>
  <si>
    <t>0-正转</t>
  </si>
  <si>
    <t>1-反转</t>
  </si>
  <si>
    <t>0-1/3HP</t>
    <phoneticPr fontId="1" type="noConversion"/>
  </si>
  <si>
    <t>1-1/2HP</t>
    <phoneticPr fontId="1" type="noConversion"/>
  </si>
  <si>
    <t>2-3/4HP</t>
    <phoneticPr fontId="1" type="noConversion"/>
  </si>
  <si>
    <t>3-1HP</t>
    <phoneticPr fontId="1" type="noConversion"/>
  </si>
  <si>
    <t>功率等级不同，最大值也有所不同</t>
    <phoneticPr fontId="1" type="noConversion"/>
  </si>
  <si>
    <t>OnDelayTap2</t>
    <phoneticPr fontId="1" type="noConversion"/>
  </si>
  <si>
    <t>1HP</t>
  </si>
  <si>
    <t>80ozft</t>
  </si>
  <si>
    <t>3/4HP</t>
    <phoneticPr fontId="1" type="noConversion"/>
  </si>
  <si>
    <t>60ozft</t>
  </si>
  <si>
    <t>TorqueTap2</t>
    <phoneticPr fontId="1" type="noConversion"/>
  </si>
  <si>
    <t>1/2HP</t>
    <phoneticPr fontId="1" type="noConversion"/>
  </si>
  <si>
    <t>40ozft</t>
  </si>
  <si>
    <t>OnDelayTap3</t>
    <phoneticPr fontId="1" type="noConversion"/>
  </si>
  <si>
    <t>1/3HP</t>
    <phoneticPr fontId="1" type="noConversion"/>
  </si>
  <si>
    <t>26.7ozft</t>
  </si>
  <si>
    <t>OffDelayTap3</t>
    <phoneticPr fontId="1" type="noConversion"/>
  </si>
  <si>
    <t>TorqueTap3</t>
    <phoneticPr fontId="1" type="noConversion"/>
  </si>
  <si>
    <t>OnDelayTap4</t>
    <phoneticPr fontId="1" type="noConversion"/>
  </si>
  <si>
    <t>OffDelayTap4</t>
    <phoneticPr fontId="1" type="noConversion"/>
  </si>
  <si>
    <t>TorqueTap4</t>
    <phoneticPr fontId="1" type="noConversion"/>
  </si>
  <si>
    <t>OnDelayTap5</t>
    <phoneticPr fontId="1" type="noConversion"/>
  </si>
  <si>
    <t>OffDelayTap5</t>
    <phoneticPr fontId="1" type="noConversion"/>
  </si>
  <si>
    <t>TorqueTap5</t>
    <phoneticPr fontId="1" type="noConversion"/>
  </si>
  <si>
    <t>OnDelayTap6</t>
    <phoneticPr fontId="1" type="noConversion"/>
  </si>
  <si>
    <t>OffDelayTap6</t>
    <phoneticPr fontId="1" type="noConversion"/>
  </si>
  <si>
    <t>TorqueTap6</t>
    <phoneticPr fontId="1" type="noConversion"/>
  </si>
  <si>
    <t>OnDelayTap7</t>
    <phoneticPr fontId="1" type="noConversion"/>
  </si>
  <si>
    <t>OffDelayTap7</t>
    <phoneticPr fontId="1" type="noConversion"/>
  </si>
  <si>
    <t>TorqueTap7</t>
    <phoneticPr fontId="1" type="noConversion"/>
  </si>
  <si>
    <t>OnDelayTap8</t>
    <phoneticPr fontId="1" type="noConversion"/>
  </si>
  <si>
    <t>OffDelayTap8</t>
    <phoneticPr fontId="1" type="noConversion"/>
  </si>
  <si>
    <t>TorqueTap8</t>
    <phoneticPr fontId="1" type="noConversion"/>
  </si>
  <si>
    <t>OnDelayTap9</t>
    <phoneticPr fontId="1" type="noConversion"/>
  </si>
  <si>
    <t>OffDelayTap9</t>
    <phoneticPr fontId="1" type="noConversion"/>
  </si>
  <si>
    <t>TorqueTap9</t>
    <phoneticPr fontId="1" type="noConversion"/>
  </si>
  <si>
    <t>CFMpara1</t>
    <phoneticPr fontId="1" type="noConversion"/>
  </si>
  <si>
    <t>恒风量</t>
    <phoneticPr fontId="1" type="noConversion"/>
  </si>
  <si>
    <t>CFMpara2</t>
  </si>
  <si>
    <t>CFMpara3</t>
  </si>
  <si>
    <t>CFMpara4</t>
  </si>
  <si>
    <t>CFMpara5</t>
  </si>
  <si>
    <t>CFMpara6</t>
  </si>
  <si>
    <t>CFMpara7</t>
  </si>
  <si>
    <t>CFMpara8</t>
  </si>
  <si>
    <t>CFMpara9</t>
  </si>
  <si>
    <t>CFMpara10</t>
  </si>
  <si>
    <t>CFMpara11</t>
  </si>
  <si>
    <t>CFMpara12</t>
  </si>
  <si>
    <t>ftStart</t>
    <phoneticPr fontId="1" type="noConversion"/>
  </si>
  <si>
    <t>在线拖动参数</t>
    <phoneticPr fontId="1" type="noConversion"/>
  </si>
  <si>
    <t>JogDir</t>
    <phoneticPr fontId="1" type="noConversion"/>
  </si>
  <si>
    <t>JogPara1</t>
    <phoneticPr fontId="1" type="noConversion"/>
  </si>
  <si>
    <t>JogPara2</t>
  </si>
  <si>
    <t>JogPara3</t>
  </si>
  <si>
    <t>JogPara4</t>
  </si>
  <si>
    <t>Jogtorq</t>
    <phoneticPr fontId="1" type="noConversion"/>
  </si>
  <si>
    <t>Jogflow</t>
    <phoneticPr fontId="1" type="noConversion"/>
  </si>
  <si>
    <t>Jogspeed</t>
    <phoneticPr fontId="1" type="noConversion"/>
  </si>
  <si>
    <t>CvbSpdMin</t>
    <phoneticPr fontId="1" type="noConversion"/>
  </si>
  <si>
    <t>RedObsStartCoef</t>
    <phoneticPr fontId="1" type="noConversion"/>
  </si>
  <si>
    <t>007-004</t>
  </si>
  <si>
    <t>CmdVolt</t>
    <phoneticPr fontId="1" type="noConversion"/>
  </si>
  <si>
    <t>0.1V</t>
    <phoneticPr fontId="1" type="noConversion"/>
  </si>
  <si>
    <t>OV_LV1_RESET_TIME</t>
    <phoneticPr fontId="1" type="noConversion"/>
  </si>
  <si>
    <t>OV_LV1_TRIG_TIME</t>
    <phoneticPr fontId="1" type="noConversion"/>
  </si>
  <si>
    <t>OV_LV2_TRIG_TIME</t>
    <phoneticPr fontId="1" type="noConversion"/>
  </si>
  <si>
    <t>OV_LV3_TRIG_TIME</t>
    <phoneticPr fontId="1" type="noConversion"/>
  </si>
  <si>
    <t>UV_LV1_TRIG_TIME</t>
    <phoneticPr fontId="1" type="noConversion"/>
  </si>
  <si>
    <t>UV_LV1_RESET_TIME</t>
    <phoneticPr fontId="1" type="noConversion"/>
  </si>
  <si>
    <t>IPM_NORM_0C</t>
    <phoneticPr fontId="1" type="noConversion"/>
  </si>
  <si>
    <t>IPM_HIGH_0C</t>
    <phoneticPr fontId="1" type="noConversion"/>
  </si>
  <si>
    <t>IPM_OT_TRIG_TIME</t>
    <phoneticPr fontId="1" type="noConversion"/>
  </si>
  <si>
    <t>IPM_OT_RESET_TIME</t>
    <phoneticPr fontId="1" type="noConversion"/>
  </si>
  <si>
    <t xml:space="preserve">OC_TRIG_TIME    </t>
    <phoneticPr fontId="1" type="noConversion"/>
  </si>
  <si>
    <t xml:space="preserve">OC_RESET_TIME    </t>
    <phoneticPr fontId="1" type="noConversion"/>
  </si>
  <si>
    <t>LP_RESET_TIME</t>
    <phoneticPr fontId="1" type="noConversion"/>
  </si>
  <si>
    <t xml:space="preserve">LP_TRIG_TIME    </t>
    <phoneticPr fontId="1" type="noConversion"/>
  </si>
  <si>
    <t>OL_SPD</t>
    <phoneticPr fontId="1" type="noConversion"/>
  </si>
  <si>
    <t>STALL_SPD</t>
    <phoneticPr fontId="1" type="noConversion"/>
  </si>
  <si>
    <t xml:space="preserve">STALL_TRIG_TIME         </t>
    <phoneticPr fontId="1" type="noConversion"/>
  </si>
  <si>
    <t xml:space="preserve">STALL_RESET_TIME         </t>
    <phoneticPr fontId="1" type="noConversion"/>
  </si>
  <si>
    <t xml:space="preserve">OL_TRIG_TIME         </t>
    <phoneticPr fontId="1" type="noConversion"/>
  </si>
  <si>
    <t xml:space="preserve">OL_RESET_TIME         </t>
    <phoneticPr fontId="1" type="noConversion"/>
  </si>
  <si>
    <t>过压</t>
    <phoneticPr fontId="1" type="noConversion"/>
  </si>
  <si>
    <t>欠压</t>
    <phoneticPr fontId="1" type="noConversion"/>
  </si>
  <si>
    <t>备注</t>
    <phoneticPr fontId="1" type="noConversion"/>
  </si>
  <si>
    <t>过温</t>
    <phoneticPr fontId="1" type="noConversion"/>
  </si>
  <si>
    <t>过流</t>
    <phoneticPr fontId="1" type="noConversion"/>
  </si>
  <si>
    <t>缺相</t>
    <phoneticPr fontId="1" type="noConversion"/>
  </si>
  <si>
    <t>堵转</t>
    <phoneticPr fontId="1" type="noConversion"/>
  </si>
  <si>
    <t>过载</t>
    <phoneticPr fontId="1" type="noConversion"/>
  </si>
  <si>
    <t>ADC_OFFSET_DELTA</t>
    <phoneticPr fontId="1" type="noConversion"/>
  </si>
  <si>
    <t>ADC_OFFSET_RESET_TIME</t>
    <phoneticPr fontId="1" type="noConversion"/>
  </si>
  <si>
    <r>
      <t>ADC</t>
    </r>
    <r>
      <rPr>
        <sz val="10"/>
        <rFont val="宋体"/>
        <family val="3"/>
        <charset val="134"/>
      </rPr>
      <t>采样偏置</t>
    </r>
    <phoneticPr fontId="1" type="noConversion"/>
  </si>
  <si>
    <t>0-230V</t>
    <phoneticPr fontId="1" type="noConversion"/>
  </si>
  <si>
    <t>1-115V</t>
    <phoneticPr fontId="1" type="noConversion"/>
  </si>
  <si>
    <t>007-005</t>
  </si>
  <si>
    <t>007-006</t>
  </si>
  <si>
    <t>EcmPowerLevelOverride</t>
    <phoneticPr fontId="1" type="noConversion"/>
  </si>
  <si>
    <t>EcmVoltLevelOverride</t>
    <phoneticPr fontId="1" type="noConversion"/>
  </si>
  <si>
    <r>
      <t>-1-</t>
    </r>
    <r>
      <rPr>
        <sz val="10"/>
        <rFont val="宋体"/>
        <family val="3"/>
        <charset val="134"/>
      </rPr>
      <t>不生效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其他同</t>
    </r>
    <r>
      <rPr>
        <sz val="10"/>
        <rFont val="Arial"/>
        <family val="2"/>
      </rPr>
      <t>USER</t>
    </r>
    <r>
      <rPr>
        <sz val="10"/>
        <rFont val="宋体"/>
        <family val="3"/>
        <charset val="134"/>
      </rPr>
      <t>页</t>
    </r>
    <phoneticPr fontId="1" type="noConversion"/>
  </si>
  <si>
    <t>002-012</t>
  </si>
  <si>
    <t>002-013</t>
  </si>
  <si>
    <t>002-014</t>
  </si>
  <si>
    <t>005-005</t>
  </si>
  <si>
    <t>005-006</t>
  </si>
  <si>
    <t>005-007</t>
  </si>
  <si>
    <t>005-008</t>
  </si>
  <si>
    <t>005-009</t>
  </si>
  <si>
    <t>005-010</t>
  </si>
  <si>
    <t>005-011</t>
  </si>
  <si>
    <t>006-001</t>
  </si>
  <si>
    <t>007-007</t>
  </si>
  <si>
    <t>007-008</t>
  </si>
  <si>
    <t>007-009</t>
  </si>
  <si>
    <t>007-010</t>
  </si>
  <si>
    <t>007-011</t>
  </si>
  <si>
    <t>007-012</t>
  </si>
  <si>
    <t>007-013</t>
  </si>
  <si>
    <t>007-014</t>
  </si>
  <si>
    <t>007-015</t>
  </si>
  <si>
    <t>007-016</t>
  </si>
  <si>
    <t>007-017</t>
  </si>
  <si>
    <t>007-018</t>
  </si>
  <si>
    <t>007-019</t>
  </si>
  <si>
    <t>007-020</t>
  </si>
  <si>
    <t>007-021</t>
  </si>
  <si>
    <t>007-022</t>
  </si>
  <si>
    <t>007-023</t>
  </si>
  <si>
    <t>007-024</t>
  </si>
  <si>
    <t>007-025</t>
  </si>
  <si>
    <t>007-026</t>
  </si>
  <si>
    <t>007-027</t>
  </si>
  <si>
    <t>007-028</t>
  </si>
  <si>
    <t>007-029</t>
  </si>
  <si>
    <t>007-030</t>
  </si>
  <si>
    <t>007-031</t>
  </si>
  <si>
    <t>007-032</t>
  </si>
  <si>
    <t>007-033</t>
  </si>
  <si>
    <t>007-034</t>
  </si>
  <si>
    <t>007-035</t>
  </si>
  <si>
    <t>007-036</t>
  </si>
  <si>
    <t>007-037</t>
  </si>
  <si>
    <t>007-038</t>
  </si>
  <si>
    <t>007-039</t>
  </si>
  <si>
    <t>007-040</t>
  </si>
  <si>
    <t>007-041</t>
  </si>
  <si>
    <t>007-042</t>
  </si>
  <si>
    <t>007-043</t>
  </si>
  <si>
    <t>007-044</t>
  </si>
  <si>
    <t>007-045</t>
  </si>
  <si>
    <t>007-046</t>
  </si>
  <si>
    <t>007-047</t>
  </si>
  <si>
    <t>007-048</t>
  </si>
  <si>
    <t>007-049</t>
  </si>
  <si>
    <t>007-050</t>
  </si>
  <si>
    <t>007-051</t>
  </si>
  <si>
    <t>007-052</t>
  </si>
  <si>
    <t>007-053</t>
  </si>
  <si>
    <t>007-054</t>
  </si>
  <si>
    <t>008-001</t>
  </si>
  <si>
    <t>009-004</t>
  </si>
  <si>
    <t>009-005</t>
  </si>
  <si>
    <t>009-006</t>
  </si>
  <si>
    <t>009-007</t>
  </si>
  <si>
    <t>009-008</t>
  </si>
  <si>
    <t>009-009</t>
  </si>
  <si>
    <t>009-010</t>
  </si>
  <si>
    <t>009-011</t>
  </si>
  <si>
    <t>009-012</t>
  </si>
  <si>
    <t>009-013</t>
  </si>
  <si>
    <t>009-014</t>
  </si>
  <si>
    <t>009-015</t>
  </si>
  <si>
    <t>009-016</t>
  </si>
  <si>
    <t>009-017</t>
  </si>
  <si>
    <t>009-018</t>
  </si>
  <si>
    <t>009-019</t>
  </si>
  <si>
    <t>009-020</t>
  </si>
  <si>
    <t>009-021</t>
  </si>
  <si>
    <t>009-022</t>
  </si>
  <si>
    <t>009-023</t>
  </si>
  <si>
    <t>009-024</t>
  </si>
  <si>
    <t>009-025</t>
  </si>
  <si>
    <t>009-026</t>
  </si>
  <si>
    <t>009-027</t>
  </si>
  <si>
    <t>009-028</t>
  </si>
  <si>
    <t>009-029</t>
  </si>
  <si>
    <t>009-030</t>
  </si>
  <si>
    <t>009-031</t>
  </si>
  <si>
    <t>009-032</t>
  </si>
  <si>
    <t>009-033</t>
  </si>
  <si>
    <t>009-034</t>
  </si>
  <si>
    <t>009-035</t>
  </si>
  <si>
    <t>009-036</t>
  </si>
  <si>
    <t>009-037</t>
  </si>
  <si>
    <t>009-038</t>
  </si>
  <si>
    <t>009-039</t>
  </si>
  <si>
    <t>009-040</t>
  </si>
  <si>
    <t>009-041</t>
  </si>
  <si>
    <t>009-042</t>
  </si>
  <si>
    <t>009-043</t>
  </si>
  <si>
    <t>009-044</t>
  </si>
  <si>
    <t>009-045</t>
  </si>
  <si>
    <t>009-046</t>
  </si>
  <si>
    <t>009-047</t>
  </si>
  <si>
    <t>009-048</t>
  </si>
  <si>
    <t>009-049</t>
  </si>
  <si>
    <t>009-050</t>
  </si>
  <si>
    <t>009-051</t>
  </si>
  <si>
    <t>009-052</t>
  </si>
  <si>
    <t>009-053</t>
  </si>
  <si>
    <t>009-054</t>
  </si>
  <si>
    <t>009-055</t>
  </si>
  <si>
    <t>009-056</t>
  </si>
  <si>
    <t>009-057</t>
  </si>
  <si>
    <t>009-058</t>
  </si>
  <si>
    <t>009-059</t>
  </si>
  <si>
    <t>009-060</t>
  </si>
  <si>
    <t>009-061</t>
  </si>
  <si>
    <t>009-062</t>
  </si>
  <si>
    <t>009-063</t>
  </si>
  <si>
    <t>009-064</t>
  </si>
  <si>
    <t>010-000</t>
    <phoneticPr fontId="1" type="noConversion"/>
  </si>
  <si>
    <t>010-001</t>
  </si>
  <si>
    <t>010-002</t>
  </si>
  <si>
    <t>010-003</t>
  </si>
  <si>
    <t>010-004</t>
  </si>
  <si>
    <t>010-005</t>
  </si>
  <si>
    <t>010-006</t>
  </si>
  <si>
    <t>011-000</t>
    <phoneticPr fontId="1" type="noConversion"/>
  </si>
  <si>
    <t>011-001</t>
  </si>
  <si>
    <t>011-002</t>
  </si>
  <si>
    <t>011-003</t>
  </si>
  <si>
    <t>011-004</t>
  </si>
  <si>
    <t>011-005</t>
  </si>
  <si>
    <t>011-006</t>
  </si>
  <si>
    <t>012-000</t>
    <phoneticPr fontId="1" type="noConversion"/>
  </si>
  <si>
    <t>012-001</t>
  </si>
  <si>
    <t>012-002</t>
  </si>
  <si>
    <t>012-003</t>
  </si>
  <si>
    <t>012-004</t>
  </si>
  <si>
    <t>012-005</t>
  </si>
  <si>
    <t>对混合磁链观测器和电压模型均有效</t>
    <phoneticPr fontId="1" type="noConversion"/>
  </si>
  <si>
    <t>加速度/减速度限制</t>
    <phoneticPr fontId="1" type="noConversion"/>
  </si>
  <si>
    <t>混合（电压）模型观测器参数</t>
    <phoneticPr fontId="1" type="noConversion"/>
  </si>
  <si>
    <t>降阶观测器参数</t>
    <phoneticPr fontId="1" type="noConversion"/>
  </si>
  <si>
    <t>观测器转速滤波</t>
    <phoneticPr fontId="1" type="noConversion"/>
  </si>
  <si>
    <t>对所有观测器均生效</t>
    <phoneticPr fontId="1" type="noConversion"/>
  </si>
  <si>
    <t>电流控制器参数</t>
    <phoneticPr fontId="1" type="noConversion"/>
  </si>
  <si>
    <t>速度控制器参数</t>
    <phoneticPr fontId="1" type="noConversion"/>
  </si>
  <si>
    <t>负载惯量与电机惯量比值</t>
    <phoneticPr fontId="1" type="noConversion"/>
  </si>
  <si>
    <t>阻尼，越大ki越小</t>
    <phoneticPr fontId="1" type="noConversion"/>
  </si>
  <si>
    <t>调制参数</t>
    <phoneticPr fontId="1" type="noConversion"/>
  </si>
  <si>
    <t>开环拖动加速度</t>
    <phoneticPr fontId="1" type="noConversion"/>
  </si>
  <si>
    <t>开环拖动加参数</t>
    <phoneticPr fontId="1" type="noConversion"/>
  </si>
  <si>
    <t>弱磁参数</t>
    <phoneticPr fontId="1" type="noConversion"/>
  </si>
  <si>
    <t>死区参数</t>
    <phoneticPr fontId="1" type="noConversion"/>
  </si>
  <si>
    <t>恒压制动参数</t>
    <phoneticPr fontId="1" type="noConversion"/>
  </si>
  <si>
    <t>功率限制参数</t>
    <phoneticPr fontId="1" type="noConversion"/>
  </si>
  <si>
    <t>007-055</t>
  </si>
  <si>
    <t>007-056</t>
  </si>
  <si>
    <t>007-057</t>
  </si>
  <si>
    <t>McStartupDragInSpd</t>
    <phoneticPr fontId="1" type="noConversion"/>
  </si>
  <si>
    <t>McStartupDragOutSpd</t>
    <phoneticPr fontId="1" type="noConversion"/>
  </si>
  <si>
    <t>McStatusDetectTimeMin</t>
    <phoneticPr fontId="1" type="noConversion"/>
  </si>
  <si>
    <t>McStatusDetectTimeMax</t>
    <phoneticPr fontId="1" type="noConversion"/>
  </si>
  <si>
    <t>McIdEnhance</t>
    <phoneticPr fontId="1" type="noConversion"/>
  </si>
  <si>
    <t>计算电流斜率,Id斜率也在增磁时有效</t>
    <phoneticPr fontId="1" type="noConversion"/>
  </si>
  <si>
    <t>McIdEnhanceMaxSpeed</t>
    <phoneticPr fontId="1" type="noConversion"/>
  </si>
  <si>
    <t>ms</t>
    <phoneticPr fontId="1" type="noConversion"/>
  </si>
  <si>
    <t>rpm</t>
    <phoneticPr fontId="1" type="noConversion"/>
  </si>
  <si>
    <t>0.01A</t>
    <phoneticPr fontId="1" type="noConversion"/>
  </si>
  <si>
    <t>开环拖动启动参数</t>
    <phoneticPr fontId="1" type="noConversion"/>
  </si>
  <si>
    <r>
      <t>0-IF</t>
    </r>
    <r>
      <rPr>
        <sz val="10"/>
        <rFont val="宋体"/>
        <family val="3"/>
        <charset val="134"/>
      </rPr>
      <t>拖动，1-直接启动</t>
    </r>
    <phoneticPr fontId="1" type="noConversion"/>
  </si>
  <si>
    <t>McStartupMode</t>
    <phoneticPr fontId="1" type="noConversion"/>
  </si>
  <si>
    <t>进入开环拖动的转速，若启动时检测转速低于该转速将使用直接启动逻辑</t>
    <phoneticPr fontId="1" type="noConversion"/>
  </si>
  <si>
    <t>McStatusDetectStandStillSpeed</t>
    <phoneticPr fontId="1" type="noConversion"/>
  </si>
  <si>
    <t>McInitPosDetectMaxMs</t>
    <phoneticPr fontId="1" type="noConversion"/>
  </si>
  <si>
    <t>IqAccApPs</t>
    <phoneticPr fontId="1" type="noConversion"/>
  </si>
  <si>
    <t>0.01A/s</t>
    <phoneticPr fontId="1" type="noConversion"/>
  </si>
  <si>
    <t>IdAccApPs</t>
    <phoneticPr fontId="1" type="noConversion"/>
  </si>
  <si>
    <t>McStartupDragIq</t>
    <phoneticPr fontId="1" type="noConversion"/>
  </si>
  <si>
    <t>开环拖动Iq大小</t>
    <phoneticPr fontId="1" type="noConversion"/>
  </si>
  <si>
    <t>006-030</t>
  </si>
  <si>
    <t>ALM_DISABLE_MASK</t>
    <phoneticPr fontId="1" type="noConversion"/>
  </si>
  <si>
    <t>故障屏蔽标志位</t>
    <phoneticPr fontId="1" type="noConversion"/>
  </si>
  <si>
    <t>012-006</t>
  </si>
  <si>
    <t>012-007</t>
  </si>
  <si>
    <t>012-008</t>
  </si>
  <si>
    <t>012-009</t>
  </si>
  <si>
    <t>012-010</t>
  </si>
  <si>
    <t>012-011</t>
  </si>
  <si>
    <t>AC_FREQ</t>
    <phoneticPr fontId="1" type="noConversion"/>
  </si>
  <si>
    <t>ms</t>
    <phoneticPr fontId="1" type="noConversion"/>
  </si>
  <si>
    <t>AC_DELAY_MS</t>
    <phoneticPr fontId="1" type="noConversion"/>
  </si>
  <si>
    <t>AC_SPD_RPM</t>
    <phoneticPr fontId="1" type="noConversion"/>
  </si>
  <si>
    <t>rpm</t>
    <phoneticPr fontId="1" type="noConversion"/>
  </si>
  <si>
    <t>Hz</t>
    <phoneticPr fontId="1" type="noConversion"/>
  </si>
  <si>
    <t>AC_DUTY</t>
    <phoneticPr fontId="1" type="noConversion"/>
  </si>
  <si>
    <t>DUTY_MAX</t>
    <phoneticPr fontId="1" type="noConversion"/>
  </si>
  <si>
    <t>DUTY_MIN</t>
    <phoneticPr fontId="1" type="noConversion"/>
  </si>
  <si>
    <t>ON_DUTY</t>
    <phoneticPr fontId="1" type="noConversion"/>
  </si>
  <si>
    <t>OFF_DUTY</t>
    <phoneticPr fontId="1" type="noConversion"/>
  </si>
  <si>
    <t>FERQ_MIN</t>
    <phoneticPr fontId="1" type="noConversion"/>
  </si>
  <si>
    <t>FERQ_MAX</t>
    <phoneticPr fontId="1" type="noConversion"/>
  </si>
  <si>
    <t>SPD_MAX_RPM</t>
    <phoneticPr fontId="1" type="noConversion"/>
  </si>
  <si>
    <t>SPD_MIN_RPM</t>
    <phoneticPr fontId="1" type="noConversion"/>
  </si>
  <si>
    <t>011-007</t>
  </si>
  <si>
    <t>ClassBFaultCode</t>
    <phoneticPr fontId="1" type="noConversion"/>
  </si>
  <si>
    <t>独立储存参数页</t>
    <phoneticPr fontId="2" type="noConversion"/>
  </si>
  <si>
    <t>USER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</si>
</sst>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1">
    <xf numFmtId="0" fontId="0" fillId="0" borderId="0" xfId="0" applyAlignment="1">
      <alignment vertical="center"/>
    </xf>
    <xf numFmtId="0" fontId="3" fillId="2" borderId="1" xfId="0" applyFont="1" applyFill="1" applyBorder="1" applyAlignment="1" applyProtection="1"/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 applyProtection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2" borderId="1" xfId="0" applyNumberFormat="1" applyFill="1" applyBorder="1" applyAlignment="1" applyProtection="1"/>
    <xf numFmtId="49" fontId="0" fillId="2" borderId="1" xfId="0" applyNumberFormat="1" applyFill="1" applyBorder="1" applyAlignment="1" applyProtection="1"/>
    <xf numFmtId="49" fontId="3" fillId="2" borderId="1" xfId="0" applyNumberFormat="1" applyFont="1" applyFill="1" applyBorder="1" applyAlignment="1" applyProtection="1"/>
    <xf numFmtId="49" fontId="0" fillId="2" borderId="1" xfId="0" applyNumberFormat="1" applyFill="1" applyBorder="1" applyAlignment="1">
      <alignment vertical="center"/>
    </xf>
    <xf numFmtId="0" fontId="3" fillId="4" borderId="1" xfId="0" applyFont="1" applyFill="1" applyBorder="1" applyAlignment="1" applyProtection="1"/>
    <xf numFmtId="0" fontId="0" fillId="4" borderId="1" xfId="0" applyFill="1" applyBorder="1" applyAlignment="1" applyProtection="1"/>
    <xf numFmtId="0" fontId="0" fillId="4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 applyProtection="1"/>
    <xf numFmtId="0" fontId="3" fillId="5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0" fontId="0" fillId="4" borderId="1" xfId="0" applyNumberFormat="1" applyFill="1" applyBorder="1" applyAlignment="1" applyProtection="1"/>
    <xf numFmtId="0" fontId="0" fillId="2" borderId="0" xfId="0" applyFill="1" applyAlignment="1">
      <alignment vertical="center"/>
    </xf>
    <xf numFmtId="0" fontId="0" fillId="5" borderId="0" xfId="0" applyFill="1" applyBorder="1" applyAlignment="1">
      <alignment vertical="center"/>
    </xf>
    <xf numFmtId="49" fontId="0" fillId="0" borderId="1" xfId="0" applyNumberFormat="1" applyFill="1" applyBorder="1" applyAlignment="1" applyProtection="1"/>
    <xf numFmtId="0" fontId="0" fillId="0" borderId="1" xfId="0" applyFill="1" applyBorder="1" applyAlignment="1" applyProtection="1"/>
    <xf numFmtId="49" fontId="0" fillId="0" borderId="0" xfId="0" applyNumberForma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0" fillId="4" borderId="1" xfId="0" applyNumberFormat="1" applyFill="1" applyBorder="1" applyAlignment="1" applyProtection="1"/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M12" sqref="M12"/>
    </sheetView>
  </sheetViews>
  <sheetFormatPr defaultRowHeight="13.2" x14ac:dyDescent="0.25"/>
  <cols>
    <col min="1" max="1" width="33" style="15" customWidth="1"/>
    <col min="2" max="2" width="9.44140625" style="15" customWidth="1"/>
    <col min="3" max="3" width="19.6640625" style="15" customWidth="1"/>
    <col min="4" max="4" width="11.33203125" style="15" customWidth="1"/>
    <col min="5" max="5" width="12" style="15" customWidth="1"/>
    <col min="6" max="6" width="38.33203125" style="21" customWidth="1"/>
    <col min="7" max="7" width="39.44140625" style="21" customWidth="1"/>
    <col min="8" max="8" width="27" style="21" customWidth="1"/>
    <col min="10" max="10" width="18.77734375" customWidth="1"/>
  </cols>
  <sheetData>
    <row r="1" spans="1:10" x14ac:dyDescent="0.25">
      <c r="A1" s="14" t="s">
        <v>15</v>
      </c>
      <c r="B1" s="14" t="s">
        <v>14</v>
      </c>
      <c r="C1" s="14" t="s">
        <v>16</v>
      </c>
      <c r="D1" s="14" t="s">
        <v>26</v>
      </c>
      <c r="F1" s="23" t="s">
        <v>112</v>
      </c>
      <c r="G1" s="23" t="s">
        <v>113</v>
      </c>
      <c r="H1" s="23" t="s">
        <v>114</v>
      </c>
      <c r="J1" s="36" t="s">
        <v>633</v>
      </c>
    </row>
    <row r="2" spans="1:10" x14ac:dyDescent="0.25">
      <c r="A2" s="2" t="s">
        <v>28</v>
      </c>
      <c r="B2" s="4">
        <v>0</v>
      </c>
      <c r="C2" s="2" t="s">
        <v>18</v>
      </c>
      <c r="D2" s="16" t="s">
        <v>27</v>
      </c>
      <c r="F2" s="21" t="s">
        <v>115</v>
      </c>
      <c r="G2" s="21">
        <v>1</v>
      </c>
      <c r="J2" s="37" t="s">
        <v>634</v>
      </c>
    </row>
    <row r="3" spans="1:10" x14ac:dyDescent="0.25">
      <c r="A3" s="13"/>
      <c r="B3" s="13"/>
      <c r="C3" s="13"/>
      <c r="D3" s="13"/>
      <c r="F3" s="21" t="s">
        <v>116</v>
      </c>
      <c r="G3" s="21">
        <v>2</v>
      </c>
      <c r="J3" s="37"/>
    </row>
    <row r="4" spans="1:10" x14ac:dyDescent="0.25">
      <c r="A4" s="13"/>
      <c r="B4" s="13"/>
      <c r="C4" s="13"/>
      <c r="D4" s="13"/>
      <c r="F4" s="21" t="s">
        <v>117</v>
      </c>
      <c r="G4" s="21">
        <v>3</v>
      </c>
      <c r="J4" s="37"/>
    </row>
    <row r="5" spans="1:10" x14ac:dyDescent="0.25">
      <c r="A5" s="13"/>
      <c r="B5" s="13"/>
      <c r="C5" s="13"/>
      <c r="D5" s="13"/>
      <c r="F5" s="21" t="s">
        <v>118</v>
      </c>
      <c r="G5" s="21" t="s">
        <v>115</v>
      </c>
      <c r="J5" s="37"/>
    </row>
    <row r="6" spans="1:10" x14ac:dyDescent="0.25">
      <c r="A6" s="13"/>
      <c r="B6" s="13"/>
      <c r="C6" s="13"/>
      <c r="D6" s="13"/>
      <c r="F6" s="21" t="s">
        <v>119</v>
      </c>
      <c r="G6" s="21">
        <v>1</v>
      </c>
      <c r="J6" s="37"/>
    </row>
    <row r="7" spans="1:10" x14ac:dyDescent="0.25">
      <c r="A7" s="13"/>
      <c r="B7" s="13"/>
      <c r="C7" s="13"/>
      <c r="D7" s="13"/>
      <c r="F7" s="21" t="s">
        <v>120</v>
      </c>
      <c r="G7" s="21">
        <v>2</v>
      </c>
      <c r="J7" s="37"/>
    </row>
    <row r="8" spans="1:10" x14ac:dyDescent="0.25">
      <c r="A8" s="13"/>
      <c r="B8" s="13"/>
      <c r="C8" s="13"/>
      <c r="D8" s="13"/>
      <c r="F8" s="21" t="s">
        <v>121</v>
      </c>
      <c r="G8" s="21" t="s">
        <v>120</v>
      </c>
      <c r="J8" s="37"/>
    </row>
    <row r="9" spans="1:10" x14ac:dyDescent="0.25">
      <c r="A9" s="13"/>
      <c r="B9" s="13"/>
      <c r="C9" s="13"/>
      <c r="D9" s="13"/>
      <c r="F9" s="21" t="s">
        <v>122</v>
      </c>
      <c r="G9" s="21">
        <v>25</v>
      </c>
      <c r="J9" s="37"/>
    </row>
    <row r="10" spans="1:10" x14ac:dyDescent="0.25">
      <c r="A10" s="13"/>
      <c r="B10" s="13"/>
      <c r="C10" s="13"/>
      <c r="D10" s="13"/>
      <c r="F10" s="21" t="s">
        <v>123</v>
      </c>
      <c r="G10" s="21">
        <v>12</v>
      </c>
      <c r="J10" s="37"/>
    </row>
    <row r="11" spans="1:10" x14ac:dyDescent="0.25">
      <c r="A11" s="13"/>
      <c r="B11" s="13"/>
      <c r="C11" s="13"/>
      <c r="D11" s="13"/>
      <c r="F11" s="21" t="s">
        <v>124</v>
      </c>
      <c r="G11" s="21" t="s">
        <v>129</v>
      </c>
      <c r="J11" s="37"/>
    </row>
    <row r="12" spans="1:10" x14ac:dyDescent="0.25">
      <c r="A12" s="13"/>
      <c r="B12" s="13"/>
      <c r="C12" s="13"/>
      <c r="D12" s="13"/>
      <c r="F12" s="21" t="s">
        <v>125</v>
      </c>
      <c r="G12" s="21" t="s">
        <v>129</v>
      </c>
      <c r="J12" s="37"/>
    </row>
    <row r="13" spans="1:10" x14ac:dyDescent="0.25">
      <c r="A13" s="13"/>
      <c r="B13" s="13"/>
      <c r="C13" s="13"/>
      <c r="D13" s="13"/>
      <c r="F13" s="21" t="s">
        <v>126</v>
      </c>
      <c r="G13" s="21" t="s">
        <v>130</v>
      </c>
      <c r="J13" s="37"/>
    </row>
    <row r="14" spans="1:10" x14ac:dyDescent="0.25">
      <c r="A14" s="13"/>
      <c r="B14" s="13"/>
      <c r="C14" s="13"/>
      <c r="D14" s="13"/>
      <c r="F14" s="21" t="s">
        <v>127</v>
      </c>
      <c r="G14" s="21">
        <v>20</v>
      </c>
      <c r="J14" s="37"/>
    </row>
    <row r="15" spans="1:10" x14ac:dyDescent="0.25">
      <c r="A15" s="13"/>
      <c r="B15" s="13"/>
      <c r="C15" s="13"/>
      <c r="D15" s="13"/>
      <c r="F15" s="21" t="s">
        <v>128</v>
      </c>
      <c r="G15" s="21" t="s">
        <v>131</v>
      </c>
      <c r="J15" s="37"/>
    </row>
    <row r="16" spans="1:10" x14ac:dyDescent="0.25">
      <c r="A16" s="13"/>
      <c r="B16" s="13"/>
      <c r="C16" s="13"/>
      <c r="D16" s="13"/>
      <c r="F16" s="21" t="s">
        <v>176</v>
      </c>
      <c r="G16" s="21">
        <v>25</v>
      </c>
      <c r="J16" s="37"/>
    </row>
    <row r="17" spans="1:10" x14ac:dyDescent="0.25">
      <c r="A17" s="13"/>
      <c r="B17" s="13"/>
      <c r="C17" s="13"/>
      <c r="D17" s="13"/>
      <c r="J17" s="37"/>
    </row>
    <row r="18" spans="1:10" x14ac:dyDescent="0.25">
      <c r="A18" s="13"/>
      <c r="B18" s="13"/>
      <c r="C18" s="13"/>
      <c r="D18" s="13"/>
      <c r="J18" s="37"/>
    </row>
    <row r="19" spans="1:10" x14ac:dyDescent="0.25">
      <c r="A19" s="13"/>
      <c r="B19" s="13"/>
      <c r="C19" s="13"/>
      <c r="D19" s="13"/>
      <c r="J19" s="37"/>
    </row>
    <row r="20" spans="1:10" x14ac:dyDescent="0.25">
      <c r="A20" s="13"/>
      <c r="B20" s="13"/>
      <c r="C20" s="13"/>
      <c r="D20" s="13"/>
      <c r="J20" s="37"/>
    </row>
    <row r="21" spans="1:10" x14ac:dyDescent="0.25">
      <c r="A21" s="13"/>
      <c r="B21" s="13"/>
      <c r="C21" s="13"/>
      <c r="D21" s="13"/>
      <c r="J21" s="37"/>
    </row>
    <row r="22" spans="1:10" x14ac:dyDescent="0.25">
      <c r="A22" s="13"/>
      <c r="B22" s="13"/>
      <c r="C22" s="13"/>
      <c r="D22" s="13"/>
      <c r="J22" s="37"/>
    </row>
    <row r="23" spans="1:10" x14ac:dyDescent="0.25">
      <c r="A23" s="13"/>
      <c r="B23" s="13"/>
      <c r="C23" s="13"/>
      <c r="D23" s="13"/>
      <c r="J23" s="37"/>
    </row>
    <row r="24" spans="1:10" x14ac:dyDescent="0.25">
      <c r="A24" s="13"/>
      <c r="B24" s="13"/>
      <c r="C24" s="13"/>
      <c r="D24" s="13"/>
      <c r="J24" s="3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8"/>
  <sheetViews>
    <sheetView workbookViewId="0">
      <selection activeCell="N4" sqref="N4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0.5546875" style="21" customWidth="1"/>
    <col min="16" max="16" width="19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3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3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103</v>
      </c>
      <c r="P2" s="17" t="s">
        <v>22</v>
      </c>
      <c r="Q2" s="17" t="s">
        <v>22</v>
      </c>
      <c r="R2" s="17" t="s">
        <v>22</v>
      </c>
    </row>
    <row r="3" spans="1:23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3" x14ac:dyDescent="0.25">
      <c r="A4" s="8" t="s">
        <v>30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f>MOTOR0!N6</f>
        <v>5</v>
      </c>
      <c r="O4" s="22" t="s">
        <v>96</v>
      </c>
      <c r="P4" s="12" t="s">
        <v>96</v>
      </c>
      <c r="Q4" s="12"/>
      <c r="S4" s="5">
        <f>N4/10^H4</f>
        <v>5</v>
      </c>
    </row>
    <row r="5" spans="1:23" x14ac:dyDescent="0.25">
      <c r="A5" s="8" t="s">
        <v>31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7">
        <v>65535</v>
      </c>
      <c r="M5" s="7">
        <v>0</v>
      </c>
      <c r="N5" s="3">
        <v>6666</v>
      </c>
      <c r="O5" s="22" t="s">
        <v>97</v>
      </c>
      <c r="P5" s="12" t="s">
        <v>97</v>
      </c>
      <c r="Q5" s="12" t="s">
        <v>177</v>
      </c>
      <c r="S5" s="5">
        <f>N5/10^H5</f>
        <v>6666</v>
      </c>
    </row>
    <row r="6" spans="1:23" x14ac:dyDescent="0.25">
      <c r="A6" s="8" t="s">
        <v>32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7">
        <v>65535</v>
      </c>
      <c r="M6" s="7">
        <v>0</v>
      </c>
      <c r="N6" s="3">
        <v>600</v>
      </c>
      <c r="O6" s="22" t="s">
        <v>104</v>
      </c>
      <c r="P6" s="12" t="s">
        <v>104</v>
      </c>
      <c r="Q6" s="12" t="s">
        <v>158</v>
      </c>
      <c r="S6" s="5">
        <f>N6/10^H6</f>
        <v>600</v>
      </c>
    </row>
    <row r="7" spans="1:23" x14ac:dyDescent="0.25">
      <c r="A7" s="8" t="s">
        <v>33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7">
        <v>65535</v>
      </c>
      <c r="M7" s="7">
        <v>0</v>
      </c>
      <c r="N7" s="3">
        <v>750</v>
      </c>
      <c r="O7" s="22" t="s">
        <v>105</v>
      </c>
      <c r="P7" s="12" t="s">
        <v>105</v>
      </c>
      <c r="Q7" s="12" t="s">
        <v>98</v>
      </c>
      <c r="S7" s="5">
        <f>N7/10^H7</f>
        <v>750</v>
      </c>
    </row>
    <row r="8" spans="1:23" s="13" customFormat="1" x14ac:dyDescent="0.25">
      <c r="A8" s="8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2"/>
      <c r="S8" s="5"/>
      <c r="T8" s="5"/>
      <c r="U8" s="5"/>
      <c r="V8" s="5"/>
      <c r="W8" s="5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N13" sqref="N13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9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34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2"/>
      <c r="AA4" s="27"/>
      <c r="AB4" s="32"/>
      <c r="AC4" s="27"/>
    </row>
    <row r="5" spans="1:29" x14ac:dyDescent="0.25">
      <c r="A5" s="8" t="s">
        <v>318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2"/>
      <c r="AA5" s="27"/>
      <c r="AB5" s="32"/>
      <c r="AC5" s="27"/>
    </row>
    <row r="6" spans="1:29" x14ac:dyDescent="0.25">
      <c r="A6" s="8" t="s">
        <v>35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2"/>
      <c r="AA6" s="27"/>
      <c r="AB6" s="32"/>
      <c r="AC6" s="27"/>
    </row>
    <row r="7" spans="1:29" x14ac:dyDescent="0.25">
      <c r="A7" s="8" t="s">
        <v>36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2"/>
      <c r="AA7" s="27"/>
      <c r="AB7" s="32"/>
      <c r="AC7" s="27"/>
    </row>
    <row r="8" spans="1:29" x14ac:dyDescent="0.25">
      <c r="A8" s="8" t="s">
        <v>37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2"/>
      <c r="AA8" s="27"/>
      <c r="AB8" s="32"/>
      <c r="AC8" s="27"/>
    </row>
    <row r="9" spans="1:29" x14ac:dyDescent="0.25">
      <c r="A9" s="8" t="s">
        <v>38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2"/>
      <c r="AA9" s="27"/>
      <c r="AB9" s="32"/>
      <c r="AC9" s="27"/>
    </row>
    <row r="10" spans="1:29" x14ac:dyDescent="0.25">
      <c r="A10" s="8" t="s">
        <v>39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2"/>
      <c r="AA10" s="27"/>
      <c r="AB10" s="32"/>
      <c r="AC10" s="27"/>
    </row>
    <row r="11" spans="1:29" x14ac:dyDescent="0.25">
      <c r="A11" s="8" t="s">
        <v>88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2"/>
      <c r="AA11" s="27"/>
      <c r="AB11" s="32"/>
      <c r="AC11" s="27"/>
    </row>
    <row r="12" spans="1:29" x14ac:dyDescent="0.25">
      <c r="A12" s="8" t="s">
        <v>89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330</v>
      </c>
      <c r="O12" s="22" t="s">
        <v>110</v>
      </c>
      <c r="P12" s="12" t="s">
        <v>110</v>
      </c>
      <c r="Q12" s="12" t="s">
        <v>74</v>
      </c>
      <c r="Z12" s="32"/>
      <c r="AA12" s="27"/>
      <c r="AB12" s="32"/>
      <c r="AC12" s="27"/>
    </row>
    <row r="13" spans="1:29" x14ac:dyDescent="0.25">
      <c r="A13" s="8" t="s">
        <v>90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2"/>
      <c r="AA13" s="27"/>
      <c r="AB13" s="32"/>
      <c r="AC13" s="27"/>
    </row>
    <row r="14" spans="1:29" x14ac:dyDescent="0.25">
      <c r="A14" s="8" t="s">
        <v>91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2"/>
      <c r="AA14" s="27"/>
      <c r="AB14" s="32"/>
      <c r="AC14" s="27"/>
    </row>
    <row r="15" spans="1:29" x14ac:dyDescent="0.25">
      <c r="A15" s="8" t="s">
        <v>92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2"/>
      <c r="AA15" s="27"/>
      <c r="AB15" s="32"/>
      <c r="AC15" s="27"/>
    </row>
    <row r="16" spans="1:29" x14ac:dyDescent="0.25">
      <c r="A16" s="8" t="s">
        <v>93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2"/>
      <c r="AA16" s="27"/>
      <c r="AB16" s="32"/>
      <c r="AC16" s="27"/>
    </row>
    <row r="17" spans="1:29" x14ac:dyDescent="0.25">
      <c r="A17" s="8" t="s">
        <v>94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2"/>
      <c r="AA17" s="27"/>
      <c r="AB17" s="32"/>
      <c r="AC17" s="27"/>
    </row>
    <row r="18" spans="1:29" x14ac:dyDescent="0.25">
      <c r="A18" s="8" t="s">
        <v>95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2"/>
      <c r="AA18" s="27"/>
      <c r="AB18" s="32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P26" sqref="P26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9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46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2"/>
      <c r="AA4" s="27"/>
      <c r="AB4" s="32"/>
      <c r="AC4" s="27"/>
    </row>
    <row r="5" spans="1:29" x14ac:dyDescent="0.25">
      <c r="A5" s="8" t="s">
        <v>47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2"/>
      <c r="AA5" s="27"/>
      <c r="AB5" s="32"/>
      <c r="AC5" s="27"/>
    </row>
    <row r="6" spans="1:29" x14ac:dyDescent="0.25">
      <c r="A6" s="8" t="s">
        <v>48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2"/>
      <c r="AA6" s="27"/>
      <c r="AB6" s="32"/>
      <c r="AC6" s="27"/>
    </row>
    <row r="7" spans="1:29" x14ac:dyDescent="0.25">
      <c r="A7" s="8" t="s">
        <v>49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2"/>
      <c r="AA7" s="27"/>
      <c r="AB7" s="32"/>
      <c r="AC7" s="27"/>
    </row>
    <row r="8" spans="1:29" x14ac:dyDescent="0.25">
      <c r="A8" s="8" t="s">
        <v>284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2"/>
      <c r="AA8" s="27"/>
      <c r="AB8" s="32"/>
      <c r="AC8" s="27"/>
    </row>
    <row r="9" spans="1:29" x14ac:dyDescent="0.25">
      <c r="A9" s="8" t="s">
        <v>285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2"/>
      <c r="AA9" s="27"/>
      <c r="AB9" s="32"/>
      <c r="AC9" s="27"/>
    </row>
    <row r="10" spans="1:29" x14ac:dyDescent="0.25">
      <c r="A10" s="8" t="s">
        <v>286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2"/>
      <c r="AA10" s="27"/>
      <c r="AB10" s="32"/>
      <c r="AC10" s="27"/>
    </row>
    <row r="11" spans="1:29" x14ac:dyDescent="0.25">
      <c r="A11" s="8" t="s">
        <v>288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2"/>
      <c r="AA11" s="27"/>
      <c r="AB11" s="32"/>
      <c r="AC11" s="27"/>
    </row>
    <row r="12" spans="1:29" x14ac:dyDescent="0.25">
      <c r="A12" s="8" t="s">
        <v>289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2"/>
      <c r="AA12" s="27"/>
      <c r="AB12" s="32"/>
      <c r="AC12" s="27"/>
    </row>
    <row r="13" spans="1:29" x14ac:dyDescent="0.25">
      <c r="A13" s="8" t="s">
        <v>290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2"/>
      <c r="AA13" s="27"/>
      <c r="AB13" s="32"/>
      <c r="AC13" s="27"/>
    </row>
    <row r="14" spans="1:29" x14ac:dyDescent="0.25">
      <c r="A14" s="8" t="s">
        <v>291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2"/>
      <c r="AA14" s="27"/>
      <c r="AB14" s="32"/>
      <c r="AC14" s="27"/>
    </row>
    <row r="15" spans="1:29" x14ac:dyDescent="0.25">
      <c r="A15" s="8" t="s">
        <v>292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2"/>
      <c r="AA15" s="27"/>
      <c r="AB15" s="32"/>
      <c r="AC15" s="27"/>
    </row>
    <row r="16" spans="1:29" x14ac:dyDescent="0.25">
      <c r="A16" s="8" t="s">
        <v>425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2"/>
      <c r="AA16" s="27"/>
      <c r="AB16" s="32"/>
      <c r="AC16" s="27"/>
    </row>
    <row r="17" spans="1:29" x14ac:dyDescent="0.25">
      <c r="A17" s="8" t="s">
        <v>426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2"/>
      <c r="AA17" s="27"/>
      <c r="AB17" s="32"/>
      <c r="AC17" s="27"/>
    </row>
    <row r="18" spans="1:29" x14ac:dyDescent="0.25">
      <c r="A18" s="8" t="s">
        <v>427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2"/>
      <c r="AA18" s="27"/>
      <c r="AB18" s="32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A4" sqref="A4:A1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9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40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2"/>
      <c r="AA4" s="27"/>
      <c r="AB4" s="32"/>
      <c r="AC4" s="27"/>
    </row>
    <row r="5" spans="1:29" x14ac:dyDescent="0.25">
      <c r="A5" s="8" t="s">
        <v>41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2"/>
      <c r="AA5" s="27"/>
      <c r="AB5" s="32"/>
      <c r="AC5" s="27"/>
    </row>
    <row r="6" spans="1:29" x14ac:dyDescent="0.25">
      <c r="A6" s="8" t="s">
        <v>42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2"/>
      <c r="AA6" s="27"/>
      <c r="AB6" s="32"/>
      <c r="AC6" s="27"/>
    </row>
    <row r="7" spans="1:29" x14ac:dyDescent="0.25">
      <c r="A7" s="8" t="s">
        <v>43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2"/>
      <c r="AA7" s="27"/>
      <c r="AB7" s="32"/>
      <c r="AC7" s="27"/>
    </row>
    <row r="8" spans="1:29" x14ac:dyDescent="0.25">
      <c r="A8" s="8" t="s">
        <v>44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2"/>
      <c r="AA8" s="27"/>
      <c r="AB8" s="32"/>
      <c r="AC8" s="27"/>
    </row>
    <row r="9" spans="1:29" x14ac:dyDescent="0.25">
      <c r="A9" s="8" t="s">
        <v>45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2"/>
      <c r="AA9" s="27"/>
      <c r="AB9" s="32"/>
      <c r="AC9" s="27"/>
    </row>
    <row r="10" spans="1:29" x14ac:dyDescent="0.25">
      <c r="A10" s="8" t="s">
        <v>50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2"/>
      <c r="AA10" s="27"/>
      <c r="AB10" s="32"/>
      <c r="AC10" s="27"/>
    </row>
    <row r="11" spans="1:29" x14ac:dyDescent="0.25">
      <c r="A11" s="8" t="s">
        <v>51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2"/>
      <c r="AA11" s="27"/>
      <c r="AB11" s="32"/>
      <c r="AC11" s="27"/>
    </row>
    <row r="12" spans="1:29" x14ac:dyDescent="0.25">
      <c r="A12" s="8" t="s">
        <v>52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2"/>
      <c r="AA12" s="27"/>
      <c r="AB12" s="32"/>
      <c r="AC12" s="27"/>
    </row>
    <row r="13" spans="1:29" x14ac:dyDescent="0.25">
      <c r="A13" s="8" t="s">
        <v>53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2"/>
      <c r="AA13" s="27"/>
      <c r="AB13" s="32"/>
      <c r="AC13" s="27"/>
    </row>
    <row r="14" spans="1:29" x14ac:dyDescent="0.25">
      <c r="A14" s="8" t="s">
        <v>54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2"/>
      <c r="AA14" s="27"/>
      <c r="AB14" s="32"/>
      <c r="AC14" s="27"/>
    </row>
    <row r="15" spans="1:29" x14ac:dyDescent="0.25">
      <c r="A15" s="8" t="s">
        <v>55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2"/>
      <c r="AA15" s="27"/>
      <c r="AB15" s="32"/>
      <c r="AC15" s="27"/>
    </row>
    <row r="16" spans="1:29" x14ac:dyDescent="0.25">
      <c r="A16" s="8" t="s">
        <v>56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2"/>
      <c r="AA16" s="27"/>
      <c r="AB16" s="32"/>
      <c r="AC16" s="27"/>
    </row>
    <row r="17" spans="1:29" x14ac:dyDescent="0.25">
      <c r="A17" s="8" t="s">
        <v>57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2"/>
      <c r="AA17" s="27"/>
      <c r="AB17" s="32"/>
      <c r="AC17" s="27"/>
    </row>
    <row r="18" spans="1:29" x14ac:dyDescent="0.25">
      <c r="A18" s="8" t="s">
        <v>58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2"/>
      <c r="AA18" s="27"/>
      <c r="AB18" s="32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0"/>
  <sheetViews>
    <sheetView workbookViewId="0">
      <selection activeCell="A4" sqref="A4:A1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5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9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9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2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29" x14ac:dyDescent="0.25">
      <c r="A4" s="8" t="s">
        <v>132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13400</v>
      </c>
      <c r="O4" s="22" t="s">
        <v>59</v>
      </c>
      <c r="P4" s="12" t="s">
        <v>59</v>
      </c>
      <c r="Q4" s="12" t="s">
        <v>71</v>
      </c>
      <c r="S4" s="5">
        <f>N4/10^H4</f>
        <v>13400</v>
      </c>
      <c r="Z4" s="32"/>
      <c r="AA4" s="27"/>
      <c r="AB4" s="32"/>
      <c r="AC4" s="27"/>
    </row>
    <row r="5" spans="1:29" x14ac:dyDescent="0.25">
      <c r="A5" s="8" t="s">
        <v>133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1</v>
      </c>
      <c r="O5" s="22" t="s">
        <v>60</v>
      </c>
      <c r="P5" s="12" t="s">
        <v>60</v>
      </c>
      <c r="Z5" s="32"/>
      <c r="AA5" s="27"/>
      <c r="AB5" s="32"/>
      <c r="AC5" s="27"/>
    </row>
    <row r="6" spans="1:29" x14ac:dyDescent="0.25">
      <c r="A6" s="8" t="s">
        <v>134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5</v>
      </c>
      <c r="O6" s="22" t="s">
        <v>61</v>
      </c>
      <c r="P6" s="12" t="s">
        <v>61</v>
      </c>
      <c r="Z6" s="32"/>
      <c r="AA6" s="27"/>
      <c r="AB6" s="32"/>
      <c r="AC6" s="27"/>
    </row>
    <row r="7" spans="1:29" x14ac:dyDescent="0.25">
      <c r="A7" s="8" t="s">
        <v>135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385</v>
      </c>
      <c r="O7" s="22" t="s">
        <v>62</v>
      </c>
      <c r="P7" s="12" t="s">
        <v>62</v>
      </c>
      <c r="Q7" s="12" t="s">
        <v>72</v>
      </c>
      <c r="Z7" s="32"/>
      <c r="AA7" s="27"/>
      <c r="AB7" s="32"/>
      <c r="AC7" s="27"/>
    </row>
    <row r="8" spans="1:29" x14ac:dyDescent="0.25">
      <c r="A8" s="8" t="s">
        <v>136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5500</v>
      </c>
      <c r="O8" s="22" t="s">
        <v>63</v>
      </c>
      <c r="P8" s="12" t="s">
        <v>63</v>
      </c>
      <c r="Q8" s="12" t="s">
        <v>73</v>
      </c>
      <c r="Z8" s="32"/>
      <c r="AA8" s="27"/>
      <c r="AB8" s="32"/>
      <c r="AC8" s="27"/>
    </row>
    <row r="9" spans="1:29" x14ac:dyDescent="0.25">
      <c r="A9" s="8" t="s">
        <v>137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6800</v>
      </c>
      <c r="O9" s="22" t="s">
        <v>64</v>
      </c>
      <c r="P9" s="12" t="s">
        <v>64</v>
      </c>
      <c r="Q9" s="12" t="s">
        <v>73</v>
      </c>
      <c r="Z9" s="32"/>
      <c r="AA9" s="27"/>
      <c r="AB9" s="32"/>
      <c r="AC9" s="27"/>
    </row>
    <row r="10" spans="1:29" x14ac:dyDescent="0.25">
      <c r="A10" s="8" t="s">
        <v>313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15594</v>
      </c>
      <c r="O10" s="22" t="s">
        <v>65</v>
      </c>
      <c r="P10" s="12" t="s">
        <v>65</v>
      </c>
      <c r="Q10" s="13" t="s">
        <v>76</v>
      </c>
      <c r="Z10" s="32"/>
      <c r="AA10" s="27"/>
      <c r="AB10" s="32"/>
      <c r="AC10" s="27"/>
    </row>
    <row r="11" spans="1:29" x14ac:dyDescent="0.25">
      <c r="A11" s="8" t="s">
        <v>314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0</v>
      </c>
      <c r="L11" s="7">
        <v>0</v>
      </c>
      <c r="M11" s="7">
        <v>-2000</v>
      </c>
      <c r="N11" s="3">
        <v>-100</v>
      </c>
      <c r="O11" s="22" t="s">
        <v>66</v>
      </c>
      <c r="P11" s="12" t="s">
        <v>66</v>
      </c>
      <c r="Q11" s="12" t="s">
        <v>74</v>
      </c>
      <c r="Z11" s="32"/>
      <c r="AA11" s="27"/>
      <c r="AB11" s="32"/>
      <c r="AC11" s="27"/>
    </row>
    <row r="12" spans="1:29" x14ac:dyDescent="0.25">
      <c r="A12" s="8" t="s">
        <v>138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3">
        <v>360</v>
      </c>
      <c r="O12" s="22" t="s">
        <v>110</v>
      </c>
      <c r="P12" s="12" t="s">
        <v>110</v>
      </c>
      <c r="Q12" s="12" t="s">
        <v>74</v>
      </c>
      <c r="Z12" s="32"/>
      <c r="AA12" s="27"/>
      <c r="AB12" s="32"/>
      <c r="AC12" s="27"/>
    </row>
    <row r="13" spans="1:29" x14ac:dyDescent="0.25">
      <c r="A13" s="8" t="s">
        <v>139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3">
        <v>0</v>
      </c>
      <c r="O13" s="22" t="s">
        <v>67</v>
      </c>
      <c r="P13" s="12" t="s">
        <v>67</v>
      </c>
      <c r="Q13" s="12" t="s">
        <v>74</v>
      </c>
      <c r="Z13" s="32"/>
      <c r="AA13" s="27"/>
      <c r="AB13" s="32"/>
      <c r="AC13" s="27"/>
    </row>
    <row r="14" spans="1:29" x14ac:dyDescent="0.25">
      <c r="A14" s="8" t="s">
        <v>140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1</v>
      </c>
      <c r="J14" s="7">
        <v>0</v>
      </c>
      <c r="K14" s="7">
        <v>0</v>
      </c>
      <c r="L14" s="7">
        <v>0</v>
      </c>
      <c r="M14" s="7">
        <v>-2000</v>
      </c>
      <c r="N14" s="3">
        <f>N11</f>
        <v>-100</v>
      </c>
      <c r="O14" s="22" t="s">
        <v>68</v>
      </c>
      <c r="P14" s="12" t="s">
        <v>68</v>
      </c>
      <c r="Q14" s="12" t="s">
        <v>74</v>
      </c>
      <c r="Z14" s="32"/>
      <c r="AA14" s="27"/>
      <c r="AB14" s="32"/>
      <c r="AC14" s="27"/>
    </row>
    <row r="15" spans="1:29" x14ac:dyDescent="0.25">
      <c r="A15" s="8" t="s">
        <v>141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1300</v>
      </c>
      <c r="O15" s="22" t="s">
        <v>69</v>
      </c>
      <c r="P15" s="12" t="s">
        <v>69</v>
      </c>
      <c r="Q15" s="12" t="s">
        <v>75</v>
      </c>
      <c r="Z15" s="32"/>
      <c r="AA15" s="27"/>
      <c r="AB15" s="32"/>
      <c r="AC15" s="27"/>
    </row>
    <row r="16" spans="1:29" x14ac:dyDescent="0.25">
      <c r="A16" s="8" t="s">
        <v>142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7">
        <v>0</v>
      </c>
      <c r="K16" s="7">
        <v>0</v>
      </c>
      <c r="L16" s="7">
        <v>65535</v>
      </c>
      <c r="M16" s="7">
        <v>0</v>
      </c>
      <c r="N16" s="3">
        <v>60</v>
      </c>
      <c r="O16" s="22" t="s">
        <v>70</v>
      </c>
      <c r="P16" s="12" t="s">
        <v>70</v>
      </c>
      <c r="Q16" s="12" t="s">
        <v>75</v>
      </c>
      <c r="Z16" s="32"/>
      <c r="AA16" s="27"/>
      <c r="AB16" s="32"/>
      <c r="AC16" s="27"/>
    </row>
    <row r="17" spans="1:29" x14ac:dyDescent="0.25">
      <c r="A17" s="8" t="s">
        <v>143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6000</v>
      </c>
      <c r="O17" s="22" t="s">
        <v>106</v>
      </c>
      <c r="P17" s="12" t="s">
        <v>106</v>
      </c>
      <c r="Q17" s="12" t="s">
        <v>77</v>
      </c>
      <c r="T17" s="6"/>
      <c r="Z17" s="32"/>
      <c r="AA17" s="27"/>
      <c r="AB17" s="32"/>
      <c r="AC17" s="27"/>
    </row>
    <row r="18" spans="1:29" x14ac:dyDescent="0.25">
      <c r="A18" s="8" t="s">
        <v>156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7">
        <v>0</v>
      </c>
      <c r="K18" s="7">
        <v>0</v>
      </c>
      <c r="L18" s="7">
        <v>65535</v>
      </c>
      <c r="M18" s="7">
        <v>0</v>
      </c>
      <c r="N18" s="3">
        <v>1000</v>
      </c>
      <c r="O18" s="22" t="s">
        <v>111</v>
      </c>
      <c r="P18" s="12" t="s">
        <v>111</v>
      </c>
      <c r="Q18" s="12" t="s">
        <v>78</v>
      </c>
      <c r="Z18" s="32"/>
      <c r="AA18" s="27"/>
      <c r="AB18" s="32"/>
      <c r="AC18" s="27"/>
    </row>
    <row r="19" spans="1:29" x14ac:dyDescent="0.25">
      <c r="A19" s="8" t="s">
        <v>0</v>
      </c>
      <c r="P19" s="12"/>
      <c r="Z19" s="27"/>
      <c r="AA19" s="27"/>
      <c r="AB19" s="27"/>
      <c r="AC19" s="27"/>
    </row>
    <row r="20" spans="1:29" x14ac:dyDescent="0.25">
      <c r="Z20" s="27"/>
      <c r="AA20" s="27"/>
      <c r="AB20" s="27"/>
      <c r="AC20" s="27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6"/>
  <sheetViews>
    <sheetView workbookViewId="0">
      <selection activeCell="A4" sqref="A4:A15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8.33203125" style="21" customWidth="1"/>
    <col min="16" max="16" width="18.441406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37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37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37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37" x14ac:dyDescent="0.25">
      <c r="A4" s="8" t="s">
        <v>179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550</v>
      </c>
      <c r="O4" s="22" t="s">
        <v>108</v>
      </c>
      <c r="P4" s="12" t="s">
        <v>108</v>
      </c>
      <c r="Q4" s="12" t="s">
        <v>74</v>
      </c>
      <c r="S4" s="5">
        <f>N4/10^H4</f>
        <v>550</v>
      </c>
    </row>
    <row r="5" spans="1:37" x14ac:dyDescent="0.25">
      <c r="A5" s="8" t="s">
        <v>180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7">
        <v>0</v>
      </c>
      <c r="K5" s="7">
        <v>0</v>
      </c>
      <c r="L5" s="7">
        <v>65535</v>
      </c>
      <c r="M5" s="7">
        <v>0</v>
      </c>
      <c r="N5" s="3">
        <v>2000</v>
      </c>
      <c r="O5" s="22" t="s">
        <v>107</v>
      </c>
      <c r="P5" s="12" t="s">
        <v>107</v>
      </c>
      <c r="Q5" s="13" t="s">
        <v>77</v>
      </c>
    </row>
    <row r="6" spans="1:37" x14ac:dyDescent="0.25">
      <c r="A6" s="8" t="s">
        <v>181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7">
        <v>0</v>
      </c>
      <c r="K6" s="7">
        <v>0</v>
      </c>
      <c r="L6" s="7">
        <v>65535</v>
      </c>
      <c r="M6" s="7">
        <v>0</v>
      </c>
      <c r="N6" s="3">
        <v>1050</v>
      </c>
      <c r="O6" s="22" t="s">
        <v>109</v>
      </c>
      <c r="P6" s="12" t="s">
        <v>109</v>
      </c>
      <c r="Q6" s="12" t="s">
        <v>282</v>
      </c>
    </row>
    <row r="7" spans="1:37" x14ac:dyDescent="0.25">
      <c r="A7" s="8" t="s">
        <v>182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7">
        <v>0</v>
      </c>
      <c r="K7" s="7">
        <v>0</v>
      </c>
      <c r="L7" s="7">
        <v>65535</v>
      </c>
      <c r="M7" s="7">
        <v>0</v>
      </c>
      <c r="N7" s="3">
        <v>1050</v>
      </c>
      <c r="O7" s="22" t="s">
        <v>99</v>
      </c>
      <c r="P7" s="12" t="s">
        <v>99</v>
      </c>
      <c r="Q7" s="12" t="s">
        <v>282</v>
      </c>
    </row>
    <row r="8" spans="1:37" x14ac:dyDescent="0.25">
      <c r="A8" s="8" t="s">
        <v>236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7">
        <v>0</v>
      </c>
      <c r="K8" s="7">
        <v>0</v>
      </c>
      <c r="L8" s="7">
        <v>65535</v>
      </c>
      <c r="M8" s="7">
        <v>0</v>
      </c>
      <c r="N8" s="3">
        <v>2000</v>
      </c>
      <c r="O8" s="22" t="s">
        <v>293</v>
      </c>
      <c r="Q8" s="12"/>
      <c r="R8" s="26" t="s">
        <v>287</v>
      </c>
    </row>
    <row r="9" spans="1:37" x14ac:dyDescent="0.25">
      <c r="A9" s="8" t="s">
        <v>428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7">
        <v>0</v>
      </c>
      <c r="K9" s="7">
        <v>0</v>
      </c>
      <c r="L9" s="7">
        <v>65535</v>
      </c>
      <c r="M9" s="7">
        <v>0</v>
      </c>
      <c r="N9" s="3">
        <v>250</v>
      </c>
      <c r="O9" s="22" t="s">
        <v>297</v>
      </c>
      <c r="Q9" s="12" t="s">
        <v>282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x14ac:dyDescent="0.25">
      <c r="A10" s="8" t="s">
        <v>429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7">
        <v>0</v>
      </c>
      <c r="K10" s="7">
        <v>0</v>
      </c>
      <c r="L10" s="7">
        <v>65535</v>
      </c>
      <c r="M10" s="7">
        <v>0</v>
      </c>
      <c r="N10" s="3">
        <v>3500</v>
      </c>
      <c r="O10" s="22" t="s">
        <v>294</v>
      </c>
      <c r="Q10" s="12"/>
      <c r="R10" s="26" t="s">
        <v>287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x14ac:dyDescent="0.25">
      <c r="A11" s="8" t="s">
        <v>430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7">
        <v>0</v>
      </c>
      <c r="K11" s="7">
        <v>0</v>
      </c>
      <c r="L11" s="7">
        <v>65535</v>
      </c>
      <c r="M11" s="7">
        <v>0</v>
      </c>
      <c r="N11" s="3">
        <v>800</v>
      </c>
      <c r="O11" s="22" t="s">
        <v>298</v>
      </c>
      <c r="Q11" s="12" t="s">
        <v>282</v>
      </c>
      <c r="R11" s="26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x14ac:dyDescent="0.25">
      <c r="A12" s="8" t="s">
        <v>431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7">
        <v>0</v>
      </c>
      <c r="K12" s="7">
        <v>0</v>
      </c>
      <c r="L12" s="7">
        <v>65535</v>
      </c>
      <c r="M12" s="7">
        <v>0</v>
      </c>
      <c r="N12" s="4">
        <v>3720</v>
      </c>
      <c r="O12" s="22" t="s">
        <v>295</v>
      </c>
      <c r="Q12" s="12"/>
      <c r="R12" s="26" t="s">
        <v>287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x14ac:dyDescent="0.25">
      <c r="A13" s="8" t="s">
        <v>432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7">
        <v>0</v>
      </c>
      <c r="K13" s="7">
        <v>0</v>
      </c>
      <c r="L13" s="7">
        <v>65535</v>
      </c>
      <c r="M13" s="7">
        <v>0</v>
      </c>
      <c r="N13" s="4">
        <v>1000</v>
      </c>
      <c r="O13" s="22" t="s">
        <v>299</v>
      </c>
      <c r="Q13" s="12" t="s">
        <v>282</v>
      </c>
      <c r="R13" s="26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37" x14ac:dyDescent="0.25">
      <c r="A14" s="8" t="s">
        <v>433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7">
        <v>0</v>
      </c>
      <c r="K14" s="7">
        <v>0</v>
      </c>
      <c r="L14" s="7">
        <v>65535</v>
      </c>
      <c r="M14" s="7">
        <v>0</v>
      </c>
      <c r="N14" s="3">
        <v>3800</v>
      </c>
      <c r="O14" s="22" t="s">
        <v>296</v>
      </c>
      <c r="Q14" s="12"/>
      <c r="R14" s="26" t="s">
        <v>287</v>
      </c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1:37" x14ac:dyDescent="0.25">
      <c r="A15" s="8" t="s">
        <v>434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7">
        <v>0</v>
      </c>
      <c r="K15" s="7">
        <v>0</v>
      </c>
      <c r="L15" s="7">
        <v>65535</v>
      </c>
      <c r="M15" s="7">
        <v>0</v>
      </c>
      <c r="N15" s="3">
        <v>1100</v>
      </c>
      <c r="O15" s="22" t="s">
        <v>300</v>
      </c>
      <c r="Q15" s="12" t="s">
        <v>282</v>
      </c>
      <c r="R15" s="26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spans="1:37" s="13" customFormat="1" x14ac:dyDescent="0.25">
      <c r="A16" s="8" t="s">
        <v>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2"/>
      <c r="S16" s="5"/>
      <c r="T16" s="5"/>
      <c r="U16" s="5"/>
      <c r="V16" s="5"/>
      <c r="W16" s="5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37"/>
  <sheetViews>
    <sheetView workbookViewId="0">
      <selection activeCell="N20" sqref="N20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26" style="21" customWidth="1"/>
    <col min="16" max="16" width="25.66406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33" style="5" customWidth="1"/>
    <col min="21" max="21" width="8.5546875" style="5" customWidth="1"/>
    <col min="22" max="23" width="8.6640625" style="5"/>
  </cols>
  <sheetData>
    <row r="1" spans="1:21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1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21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 t="s">
        <v>409</v>
      </c>
      <c r="U3" s="6"/>
    </row>
    <row r="4" spans="1:21" x14ac:dyDescent="0.25">
      <c r="A4" s="8" t="s">
        <v>187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3900</v>
      </c>
      <c r="O4" s="22" t="s">
        <v>81</v>
      </c>
      <c r="P4" s="11" t="s">
        <v>407</v>
      </c>
      <c r="Q4" s="12" t="s">
        <v>79</v>
      </c>
      <c r="S4" s="5">
        <f>N4/10^H4</f>
        <v>3900</v>
      </c>
      <c r="T4" s="5" t="s">
        <v>305</v>
      </c>
    </row>
    <row r="5" spans="1:21" x14ac:dyDescent="0.25">
      <c r="A5" s="8" t="s">
        <v>435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7">
        <v>65535</v>
      </c>
      <c r="M5" s="7">
        <v>0</v>
      </c>
      <c r="N5" s="3">
        <v>500</v>
      </c>
      <c r="O5" s="22" t="s">
        <v>388</v>
      </c>
      <c r="P5" s="12"/>
      <c r="Q5" s="13" t="s">
        <v>80</v>
      </c>
    </row>
    <row r="6" spans="1:21" x14ac:dyDescent="0.25">
      <c r="A6" s="8" t="s">
        <v>190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7">
        <v>65535</v>
      </c>
      <c r="M6" s="7">
        <v>0</v>
      </c>
      <c r="N6" s="3">
        <v>5000</v>
      </c>
      <c r="O6" s="22" t="s">
        <v>387</v>
      </c>
      <c r="P6" s="12"/>
    </row>
    <row r="7" spans="1:21" x14ac:dyDescent="0.25">
      <c r="A7" s="8" t="s">
        <v>191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7">
        <v>65535</v>
      </c>
      <c r="M7" s="7">
        <v>0</v>
      </c>
      <c r="N7" s="3">
        <v>4000</v>
      </c>
      <c r="O7" s="22" t="s">
        <v>82</v>
      </c>
      <c r="P7" s="12"/>
      <c r="Q7" s="12" t="s">
        <v>79</v>
      </c>
    </row>
    <row r="8" spans="1:21" x14ac:dyDescent="0.25">
      <c r="A8" s="8" t="s">
        <v>192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7">
        <v>65535</v>
      </c>
      <c r="M8" s="7">
        <v>0</v>
      </c>
      <c r="N8" s="3">
        <v>200</v>
      </c>
      <c r="O8" s="22" t="s">
        <v>389</v>
      </c>
      <c r="P8" s="12"/>
      <c r="Q8" s="13" t="s">
        <v>80</v>
      </c>
    </row>
    <row r="9" spans="1:21" x14ac:dyDescent="0.25">
      <c r="A9" s="8" t="s">
        <v>193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7">
        <v>65535</v>
      </c>
      <c r="M9" s="7">
        <v>0</v>
      </c>
      <c r="N9" s="3">
        <v>4050</v>
      </c>
      <c r="O9" s="22" t="s">
        <v>83</v>
      </c>
      <c r="P9" s="12"/>
      <c r="Q9" s="12" t="s">
        <v>79</v>
      </c>
    </row>
    <row r="10" spans="1:21" x14ac:dyDescent="0.25">
      <c r="A10" s="8" t="s">
        <v>194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7">
        <v>65535</v>
      </c>
      <c r="M10" s="7">
        <v>0</v>
      </c>
      <c r="N10" s="3">
        <v>10</v>
      </c>
      <c r="O10" s="22" t="s">
        <v>390</v>
      </c>
      <c r="P10" s="12"/>
      <c r="Q10" s="13" t="s">
        <v>80</v>
      </c>
    </row>
    <row r="11" spans="1:21" x14ac:dyDescent="0.25">
      <c r="A11" s="8" t="s">
        <v>195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7">
        <v>65535</v>
      </c>
      <c r="M11" s="7">
        <v>0</v>
      </c>
      <c r="N11" s="3">
        <v>1000</v>
      </c>
      <c r="O11" s="22" t="s">
        <v>84</v>
      </c>
      <c r="P11" s="11" t="s">
        <v>408</v>
      </c>
      <c r="Q11" s="12" t="s">
        <v>79</v>
      </c>
    </row>
    <row r="12" spans="1:21" x14ac:dyDescent="0.25">
      <c r="A12" s="8" t="s">
        <v>196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7">
        <v>65535</v>
      </c>
      <c r="M12" s="7">
        <v>0</v>
      </c>
      <c r="N12" s="3">
        <v>100</v>
      </c>
      <c r="O12" s="22" t="s">
        <v>391</v>
      </c>
      <c r="P12" s="12"/>
      <c r="Q12" s="13" t="s">
        <v>80</v>
      </c>
    </row>
    <row r="13" spans="1:21" x14ac:dyDescent="0.25">
      <c r="A13" s="8" t="s">
        <v>197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7">
        <v>65535</v>
      </c>
      <c r="M13" s="7">
        <v>0</v>
      </c>
      <c r="N13" s="3">
        <v>5000</v>
      </c>
      <c r="O13" s="22" t="s">
        <v>392</v>
      </c>
      <c r="P13" s="12"/>
    </row>
    <row r="14" spans="1:21" x14ac:dyDescent="0.25">
      <c r="A14" s="8" t="s">
        <v>199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7">
        <v>65535</v>
      </c>
      <c r="M14" s="7">
        <v>0</v>
      </c>
      <c r="N14" s="4">
        <v>850</v>
      </c>
      <c r="O14" s="22" t="s">
        <v>393</v>
      </c>
      <c r="Q14" s="12" t="s">
        <v>282</v>
      </c>
      <c r="R14" s="26"/>
    </row>
    <row r="15" spans="1:21" x14ac:dyDescent="0.25">
      <c r="A15" s="8" t="s">
        <v>200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7">
        <v>65535</v>
      </c>
      <c r="M15" s="7">
        <v>0</v>
      </c>
      <c r="N15" s="4">
        <v>900</v>
      </c>
      <c r="O15" s="22" t="s">
        <v>394</v>
      </c>
      <c r="Q15" s="13" t="s">
        <v>80</v>
      </c>
    </row>
    <row r="16" spans="1:21" x14ac:dyDescent="0.25">
      <c r="A16" s="8" t="s">
        <v>201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7">
        <v>65535</v>
      </c>
      <c r="M16" s="7">
        <v>0</v>
      </c>
      <c r="N16" s="4">
        <v>1050</v>
      </c>
      <c r="O16" s="22" t="s">
        <v>258</v>
      </c>
      <c r="P16" s="11" t="s">
        <v>410</v>
      </c>
      <c r="Q16" s="12" t="s">
        <v>282</v>
      </c>
    </row>
    <row r="17" spans="1:17" x14ac:dyDescent="0.25">
      <c r="A17" s="8" t="s">
        <v>202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4">
        <v>1000</v>
      </c>
      <c r="O17" s="22" t="s">
        <v>395</v>
      </c>
      <c r="P17" s="12"/>
      <c r="Q17" s="12" t="s">
        <v>282</v>
      </c>
    </row>
    <row r="18" spans="1:17" x14ac:dyDescent="0.25">
      <c r="A18" s="8" t="s">
        <v>203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7">
        <v>65535</v>
      </c>
      <c r="M18" s="7">
        <v>0</v>
      </c>
      <c r="N18" s="3">
        <v>5000</v>
      </c>
      <c r="O18" s="22" t="s">
        <v>396</v>
      </c>
      <c r="P18" s="12"/>
      <c r="Q18" s="12"/>
    </row>
    <row r="19" spans="1:17" x14ac:dyDescent="0.25">
      <c r="A19" s="8" t="s">
        <v>204</v>
      </c>
      <c r="B19" s="3">
        <v>0</v>
      </c>
      <c r="C19" s="3">
        <v>0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7">
        <v>65535</v>
      </c>
      <c r="M19" s="7">
        <v>0</v>
      </c>
      <c r="N19" s="3">
        <v>390</v>
      </c>
      <c r="O19" s="22" t="s">
        <v>85</v>
      </c>
      <c r="P19" s="11" t="s">
        <v>411</v>
      </c>
      <c r="Q19" s="13" t="s">
        <v>158</v>
      </c>
    </row>
    <row r="20" spans="1:17" x14ac:dyDescent="0.25">
      <c r="A20" s="8" t="s">
        <v>205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7">
        <v>65535</v>
      </c>
      <c r="M20" s="7">
        <v>0</v>
      </c>
      <c r="N20" s="3">
        <v>500</v>
      </c>
      <c r="O20" s="22" t="s">
        <v>397</v>
      </c>
      <c r="P20" s="12"/>
      <c r="Q20" s="13" t="s">
        <v>281</v>
      </c>
    </row>
    <row r="21" spans="1:17" x14ac:dyDescent="0.25">
      <c r="A21" s="8" t="s">
        <v>206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7">
        <v>65535</v>
      </c>
      <c r="M21" s="7">
        <v>0</v>
      </c>
      <c r="N21" s="3">
        <v>5000</v>
      </c>
      <c r="O21" s="22" t="s">
        <v>398</v>
      </c>
      <c r="P21" s="12"/>
    </row>
    <row r="22" spans="1:17" x14ac:dyDescent="0.25">
      <c r="A22" s="8" t="s">
        <v>207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7">
        <v>65535</v>
      </c>
      <c r="M22" s="7">
        <v>0</v>
      </c>
      <c r="N22" s="4">
        <v>2</v>
      </c>
      <c r="O22" s="22" t="s">
        <v>86</v>
      </c>
      <c r="P22" s="11" t="s">
        <v>412</v>
      </c>
      <c r="Q22" s="13" t="s">
        <v>276</v>
      </c>
    </row>
    <row r="23" spans="1:17" x14ac:dyDescent="0.25">
      <c r="A23" s="8" t="s">
        <v>209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7">
        <v>65535</v>
      </c>
      <c r="M23" s="7">
        <v>0</v>
      </c>
      <c r="N23" s="4">
        <v>1000</v>
      </c>
      <c r="O23" s="21" t="s">
        <v>400</v>
      </c>
      <c r="Q23" s="13" t="s">
        <v>80</v>
      </c>
    </row>
    <row r="24" spans="1:17" x14ac:dyDescent="0.25">
      <c r="A24" s="8" t="s">
        <v>210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7">
        <v>65535</v>
      </c>
      <c r="M24" s="7">
        <v>0</v>
      </c>
      <c r="N24" s="4">
        <v>5000</v>
      </c>
      <c r="O24" s="21" t="s">
        <v>399</v>
      </c>
    </row>
    <row r="25" spans="1:17" x14ac:dyDescent="0.25">
      <c r="A25" s="8" t="s">
        <v>211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7">
        <v>65535</v>
      </c>
      <c r="M25" s="7">
        <v>0</v>
      </c>
      <c r="N25" s="4">
        <v>90</v>
      </c>
      <c r="O25" s="21" t="s">
        <v>87</v>
      </c>
      <c r="P25" s="26" t="s">
        <v>413</v>
      </c>
      <c r="Q25" s="13" t="s">
        <v>283</v>
      </c>
    </row>
    <row r="26" spans="1:17" x14ac:dyDescent="0.25">
      <c r="A26" s="8" t="s">
        <v>212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7">
        <v>65535</v>
      </c>
      <c r="M26" s="7">
        <v>0</v>
      </c>
      <c r="N26" s="4">
        <v>200</v>
      </c>
      <c r="O26" s="21" t="s">
        <v>402</v>
      </c>
      <c r="Q26" s="13" t="s">
        <v>75</v>
      </c>
    </row>
    <row r="27" spans="1:17" x14ac:dyDescent="0.25">
      <c r="A27" s="8" t="s">
        <v>213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7">
        <v>65535</v>
      </c>
      <c r="M27" s="7">
        <v>0</v>
      </c>
      <c r="N27" s="4">
        <v>1000</v>
      </c>
      <c r="O27" s="21" t="s">
        <v>403</v>
      </c>
      <c r="Q27" s="13" t="s">
        <v>80</v>
      </c>
    </row>
    <row r="28" spans="1:17" x14ac:dyDescent="0.25">
      <c r="A28" s="8" t="s">
        <v>214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7">
        <v>65535</v>
      </c>
      <c r="M28" s="7">
        <v>0</v>
      </c>
      <c r="N28" s="4">
        <v>5000</v>
      </c>
      <c r="O28" s="21" t="s">
        <v>404</v>
      </c>
    </row>
    <row r="29" spans="1:17" x14ac:dyDescent="0.25">
      <c r="A29" s="8" t="s">
        <v>215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7">
        <v>65535</v>
      </c>
      <c r="M29" s="7">
        <v>0</v>
      </c>
      <c r="N29" s="4">
        <v>200</v>
      </c>
      <c r="O29" s="21" t="s">
        <v>401</v>
      </c>
      <c r="P29" s="26" t="s">
        <v>414</v>
      </c>
    </row>
    <row r="30" spans="1:17" x14ac:dyDescent="0.25">
      <c r="A30" s="8" t="s">
        <v>216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7">
        <v>65535</v>
      </c>
      <c r="M30" s="7">
        <v>0</v>
      </c>
      <c r="N30" s="4">
        <v>1000</v>
      </c>
      <c r="O30" s="21" t="s">
        <v>405</v>
      </c>
    </row>
    <row r="31" spans="1:17" x14ac:dyDescent="0.25">
      <c r="A31" s="8" t="s">
        <v>217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7">
        <v>65535</v>
      </c>
      <c r="M31" s="7">
        <v>0</v>
      </c>
      <c r="N31" s="4">
        <v>5000</v>
      </c>
      <c r="O31" s="21" t="s">
        <v>406</v>
      </c>
    </row>
    <row r="32" spans="1:17" x14ac:dyDescent="0.25">
      <c r="A32" s="8" t="s">
        <v>219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7">
        <v>65535</v>
      </c>
      <c r="M32" s="7">
        <v>0</v>
      </c>
      <c r="N32" s="4">
        <v>125</v>
      </c>
      <c r="O32" s="21" t="s">
        <v>415</v>
      </c>
      <c r="P32" s="13" t="s">
        <v>417</v>
      </c>
    </row>
    <row r="33" spans="1:16" x14ac:dyDescent="0.25">
      <c r="A33" s="8" t="s">
        <v>221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7">
        <v>65535</v>
      </c>
      <c r="M33" s="7">
        <v>0</v>
      </c>
      <c r="N33" s="4">
        <v>5000</v>
      </c>
      <c r="O33" s="21" t="s">
        <v>416</v>
      </c>
      <c r="P33" s="12"/>
    </row>
    <row r="34" spans="1:16" x14ac:dyDescent="0.25">
      <c r="A34" s="8" t="s">
        <v>607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7">
        <v>65535</v>
      </c>
      <c r="M34" s="7">
        <v>0</v>
      </c>
      <c r="N34" s="4">
        <v>0</v>
      </c>
      <c r="O34" s="21" t="s">
        <v>608</v>
      </c>
      <c r="P34" s="11" t="s">
        <v>609</v>
      </c>
    </row>
    <row r="35" spans="1:16" x14ac:dyDescent="0.25">
      <c r="A35" s="8" t="s">
        <v>0</v>
      </c>
    </row>
    <row r="36" spans="1:16" x14ac:dyDescent="0.25">
      <c r="N36" s="3"/>
      <c r="O36" s="22"/>
      <c r="P36" s="12"/>
    </row>
    <row r="37" spans="1:16" x14ac:dyDescent="0.25">
      <c r="N37" s="3"/>
      <c r="O37" s="22"/>
      <c r="P37" s="12"/>
    </row>
  </sheetData>
  <mergeCells count="3">
    <mergeCell ref="A1:N1"/>
    <mergeCell ref="P1:R1"/>
    <mergeCell ref="A2:N2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topLeftCell="A25" zoomScaleNormal="100" workbookViewId="0">
      <selection activeCell="O41" sqref="O41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0.5546875" style="21" customWidth="1"/>
    <col min="16" max="16" width="14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23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23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101</v>
      </c>
      <c r="P2" s="17" t="s">
        <v>22</v>
      </c>
      <c r="Q2" s="17" t="s">
        <v>22</v>
      </c>
      <c r="R2" s="17" t="s">
        <v>22</v>
      </c>
    </row>
    <row r="3" spans="1:23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/>
      <c r="T3" s="6"/>
      <c r="U3" s="6"/>
    </row>
    <row r="4" spans="1:23" x14ac:dyDescent="0.25">
      <c r="A4" s="8" t="s">
        <v>248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65535</v>
      </c>
      <c r="M4" s="7">
        <v>0</v>
      </c>
      <c r="N4" s="3">
        <v>200</v>
      </c>
      <c r="O4" s="22" t="s">
        <v>147</v>
      </c>
      <c r="P4" s="12"/>
      <c r="Q4" s="12" t="s">
        <v>246</v>
      </c>
      <c r="S4" s="43" t="s">
        <v>567</v>
      </c>
    </row>
    <row r="5" spans="1:23" x14ac:dyDescent="0.25">
      <c r="A5" s="8" t="s">
        <v>249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7">
        <v>65535</v>
      </c>
      <c r="M5" s="7">
        <v>0</v>
      </c>
      <c r="N5" s="3">
        <v>200</v>
      </c>
      <c r="O5" s="22" t="s">
        <v>148</v>
      </c>
      <c r="P5" s="12"/>
      <c r="Q5" s="12" t="s">
        <v>246</v>
      </c>
      <c r="S5" s="46"/>
    </row>
    <row r="6" spans="1:23" x14ac:dyDescent="0.25">
      <c r="A6" s="8" t="s">
        <v>252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7">
        <v>65535</v>
      </c>
      <c r="M6" s="7">
        <v>0</v>
      </c>
      <c r="N6" s="3">
        <v>1</v>
      </c>
      <c r="O6" s="22" t="s">
        <v>173</v>
      </c>
      <c r="P6" s="12"/>
      <c r="Q6" s="12"/>
      <c r="S6" s="43" t="s">
        <v>568</v>
      </c>
    </row>
    <row r="7" spans="1:23" x14ac:dyDescent="0.25">
      <c r="A7" s="8" t="s">
        <v>253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7">
        <v>65535</v>
      </c>
      <c r="M7" s="7">
        <v>0</v>
      </c>
      <c r="N7" s="3">
        <v>50</v>
      </c>
      <c r="O7" s="22" t="s">
        <v>174</v>
      </c>
      <c r="P7" s="12"/>
      <c r="Q7" s="12" t="s">
        <v>239</v>
      </c>
      <c r="S7" s="47"/>
      <c r="T7" s="6" t="s">
        <v>566</v>
      </c>
    </row>
    <row r="8" spans="1:23" x14ac:dyDescent="0.25">
      <c r="A8" s="8" t="s">
        <v>384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7">
        <v>65535</v>
      </c>
      <c r="M8" s="7">
        <v>0</v>
      </c>
      <c r="N8" s="3">
        <v>12</v>
      </c>
      <c r="O8" s="22" t="s">
        <v>270</v>
      </c>
      <c r="P8" s="12"/>
      <c r="Q8" s="12">
        <v>0.1</v>
      </c>
      <c r="S8" s="47"/>
    </row>
    <row r="9" spans="1:23" x14ac:dyDescent="0.25">
      <c r="A9" s="8" t="s">
        <v>420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7">
        <v>65535</v>
      </c>
      <c r="M9" s="7">
        <v>0</v>
      </c>
      <c r="N9" s="3">
        <v>5</v>
      </c>
      <c r="O9" s="22" t="s">
        <v>271</v>
      </c>
      <c r="P9" s="12"/>
      <c r="Q9" s="12" t="s">
        <v>98</v>
      </c>
      <c r="S9" s="46"/>
    </row>
    <row r="10" spans="1:23" x14ac:dyDescent="0.25">
      <c r="A10" s="8" t="s">
        <v>421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7">
        <v>65535</v>
      </c>
      <c r="M10" s="7">
        <v>0</v>
      </c>
      <c r="N10" s="3">
        <v>100</v>
      </c>
      <c r="O10" s="22" t="s">
        <v>144</v>
      </c>
      <c r="P10" s="12"/>
      <c r="Q10" s="12"/>
      <c r="S10" s="43" t="s">
        <v>569</v>
      </c>
    </row>
    <row r="11" spans="1:23" x14ac:dyDescent="0.25">
      <c r="A11" s="8" t="s">
        <v>436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7">
        <v>65535</v>
      </c>
      <c r="M11" s="7">
        <v>0</v>
      </c>
      <c r="N11" s="3">
        <v>17</v>
      </c>
      <c r="O11" s="21" t="s">
        <v>145</v>
      </c>
      <c r="S11" s="46"/>
    </row>
    <row r="12" spans="1:23" x14ac:dyDescent="0.25">
      <c r="A12" s="8" t="s">
        <v>437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7">
        <v>65535</v>
      </c>
      <c r="M12" s="7">
        <v>0</v>
      </c>
      <c r="N12" s="3">
        <v>8</v>
      </c>
      <c r="O12" s="21" t="s">
        <v>146</v>
      </c>
      <c r="Q12" s="13" t="s">
        <v>239</v>
      </c>
      <c r="S12" s="6" t="s">
        <v>570</v>
      </c>
      <c r="T12" s="6" t="s">
        <v>571</v>
      </c>
    </row>
    <row r="13" spans="1:23" ht="13.2" customHeight="1" x14ac:dyDescent="0.25">
      <c r="A13" s="8" t="s">
        <v>438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7">
        <v>65535</v>
      </c>
      <c r="M13" s="7">
        <v>0</v>
      </c>
      <c r="N13" s="3">
        <v>150</v>
      </c>
      <c r="O13" s="21" t="s">
        <v>149</v>
      </c>
      <c r="Q13" s="13" t="s">
        <v>239</v>
      </c>
      <c r="S13" s="43" t="s">
        <v>572</v>
      </c>
    </row>
    <row r="14" spans="1:23" x14ac:dyDescent="0.25">
      <c r="A14" s="8" t="s">
        <v>439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7">
        <v>65535</v>
      </c>
      <c r="M14" s="7">
        <v>0</v>
      </c>
      <c r="N14" s="3">
        <v>150</v>
      </c>
      <c r="O14" s="21" t="s">
        <v>150</v>
      </c>
      <c r="Q14" s="13" t="s">
        <v>239</v>
      </c>
      <c r="S14" s="44"/>
    </row>
    <row r="15" spans="1:23" x14ac:dyDescent="0.25">
      <c r="A15" s="8" t="s">
        <v>440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7">
        <v>2</v>
      </c>
      <c r="M15" s="7">
        <v>0</v>
      </c>
      <c r="N15" s="3">
        <v>2</v>
      </c>
      <c r="O15" s="21" t="s">
        <v>256</v>
      </c>
      <c r="S15" s="45"/>
      <c r="T15" s="6" t="s">
        <v>257</v>
      </c>
      <c r="U15" s="6"/>
      <c r="V15" s="6"/>
      <c r="W15" s="6"/>
    </row>
    <row r="16" spans="1:23" x14ac:dyDescent="0.25">
      <c r="A16" s="8" t="s">
        <v>441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7">
        <v>65535</v>
      </c>
      <c r="M16" s="7">
        <v>0</v>
      </c>
      <c r="N16" s="3">
        <v>40</v>
      </c>
      <c r="O16" s="21" t="s">
        <v>151</v>
      </c>
      <c r="Q16" s="13" t="s">
        <v>178</v>
      </c>
      <c r="S16" s="43" t="s">
        <v>573</v>
      </c>
    </row>
    <row r="17" spans="1:21" x14ac:dyDescent="0.25">
      <c r="A17" s="8" t="s">
        <v>442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7">
        <v>65535</v>
      </c>
      <c r="M17" s="7">
        <v>0</v>
      </c>
      <c r="N17" s="3">
        <v>4</v>
      </c>
      <c r="O17" s="21" t="s">
        <v>152</v>
      </c>
      <c r="S17" s="47"/>
      <c r="T17" s="6" t="s">
        <v>575</v>
      </c>
    </row>
    <row r="18" spans="1:21" x14ac:dyDescent="0.25">
      <c r="A18" s="8" t="s">
        <v>443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7">
        <v>65535</v>
      </c>
      <c r="M18" s="7">
        <v>0</v>
      </c>
      <c r="N18" s="3">
        <f>MOTOR0!N5</f>
        <v>1</v>
      </c>
      <c r="O18" s="21" t="s">
        <v>153</v>
      </c>
      <c r="S18" s="47"/>
      <c r="T18" s="6" t="s">
        <v>574</v>
      </c>
    </row>
    <row r="19" spans="1:21" x14ac:dyDescent="0.25">
      <c r="A19" s="8" t="s">
        <v>444</v>
      </c>
      <c r="B19" s="3">
        <v>0</v>
      </c>
      <c r="C19" s="3">
        <v>0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7">
        <v>65535</v>
      </c>
      <c r="M19" s="7">
        <v>0</v>
      </c>
      <c r="N19" s="3">
        <v>0</v>
      </c>
      <c r="O19" s="21" t="s">
        <v>154</v>
      </c>
      <c r="S19" s="46"/>
    </row>
    <row r="20" spans="1:21" x14ac:dyDescent="0.25">
      <c r="A20" s="8" t="s">
        <v>445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7">
        <v>1000</v>
      </c>
      <c r="M20" s="7">
        <v>0</v>
      </c>
      <c r="N20" s="3">
        <v>920</v>
      </c>
      <c r="O20" s="21" t="s">
        <v>155</v>
      </c>
      <c r="Q20" s="13">
        <v>1000</v>
      </c>
      <c r="S20" s="43" t="s">
        <v>576</v>
      </c>
    </row>
    <row r="21" spans="1:21" x14ac:dyDescent="0.25">
      <c r="A21" s="8" t="s">
        <v>446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7">
        <v>1000</v>
      </c>
      <c r="M21" s="7">
        <v>0</v>
      </c>
      <c r="N21" s="3">
        <v>800</v>
      </c>
      <c r="O21" s="21" t="s">
        <v>175</v>
      </c>
      <c r="Q21" s="13">
        <v>1000</v>
      </c>
      <c r="S21" s="46"/>
    </row>
    <row r="22" spans="1:21" x14ac:dyDescent="0.25">
      <c r="A22" s="8" t="s">
        <v>447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7">
        <v>65535</v>
      </c>
      <c r="M22" s="7">
        <v>0</v>
      </c>
      <c r="N22" s="3">
        <v>300</v>
      </c>
      <c r="O22" s="21" t="s">
        <v>157</v>
      </c>
      <c r="Q22" s="13" t="s">
        <v>247</v>
      </c>
      <c r="S22" s="43" t="s">
        <v>578</v>
      </c>
      <c r="T22" s="6" t="s">
        <v>577</v>
      </c>
    </row>
    <row r="23" spans="1:21" x14ac:dyDescent="0.25">
      <c r="A23" s="8" t="s">
        <v>448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  <c r="L23" s="7">
        <v>65535</v>
      </c>
      <c r="M23" s="7">
        <v>0</v>
      </c>
      <c r="N23" s="3">
        <v>250</v>
      </c>
      <c r="O23" s="21" t="s">
        <v>602</v>
      </c>
      <c r="Q23" s="13" t="s">
        <v>158</v>
      </c>
      <c r="S23" s="44"/>
      <c r="T23" s="43" t="s">
        <v>591</v>
      </c>
      <c r="U23" s="5" t="s">
        <v>603</v>
      </c>
    </row>
    <row r="24" spans="1:21" x14ac:dyDescent="0.25">
      <c r="A24" s="8" t="s">
        <v>449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7">
        <v>65535</v>
      </c>
      <c r="M24" s="7">
        <v>0</v>
      </c>
      <c r="N24" s="3">
        <v>500</v>
      </c>
      <c r="O24" s="21" t="s">
        <v>604</v>
      </c>
      <c r="Q24" s="13" t="s">
        <v>158</v>
      </c>
      <c r="S24" s="44"/>
      <c r="T24" s="47"/>
      <c r="U24" s="5" t="s">
        <v>603</v>
      </c>
    </row>
    <row r="25" spans="1:21" x14ac:dyDescent="0.25">
      <c r="A25" s="8" t="s">
        <v>450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7">
        <v>65535</v>
      </c>
      <c r="M25" s="7">
        <v>0</v>
      </c>
      <c r="N25" s="3">
        <v>1</v>
      </c>
      <c r="O25" s="21" t="s">
        <v>160</v>
      </c>
      <c r="S25" s="50" t="s">
        <v>579</v>
      </c>
    </row>
    <row r="26" spans="1:21" x14ac:dyDescent="0.25">
      <c r="A26" s="8" t="s">
        <v>451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7">
        <v>65535</v>
      </c>
      <c r="M26" s="7">
        <v>0</v>
      </c>
      <c r="N26" s="3">
        <v>50</v>
      </c>
      <c r="O26" s="21" t="s">
        <v>161</v>
      </c>
      <c r="S26" s="50"/>
    </row>
    <row r="27" spans="1:21" x14ac:dyDescent="0.25">
      <c r="A27" s="8" t="s">
        <v>452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7">
        <v>65535</v>
      </c>
      <c r="M27" s="7">
        <v>0</v>
      </c>
      <c r="N27" s="3">
        <v>100</v>
      </c>
      <c r="O27" s="21" t="s">
        <v>159</v>
      </c>
      <c r="Q27" s="13" t="s">
        <v>244</v>
      </c>
      <c r="S27" s="50"/>
    </row>
    <row r="28" spans="1:21" x14ac:dyDescent="0.25">
      <c r="A28" s="8" t="s">
        <v>453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7">
        <v>65535</v>
      </c>
      <c r="M28" s="7">
        <v>0</v>
      </c>
      <c r="N28" s="3">
        <v>0</v>
      </c>
      <c r="O28" s="21" t="s">
        <v>162</v>
      </c>
      <c r="Q28" s="13" t="s">
        <v>244</v>
      </c>
      <c r="S28" s="50"/>
    </row>
    <row r="29" spans="1:21" x14ac:dyDescent="0.25">
      <c r="A29" s="8" t="s">
        <v>454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7">
        <v>65535</v>
      </c>
      <c r="M29" s="7">
        <v>0</v>
      </c>
      <c r="N29" s="3">
        <v>25</v>
      </c>
      <c r="O29" s="21" t="s">
        <v>163</v>
      </c>
      <c r="S29" s="50"/>
    </row>
    <row r="30" spans="1:21" x14ac:dyDescent="0.25">
      <c r="A30" s="8" t="s">
        <v>455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7">
        <v>65535</v>
      </c>
      <c r="M30" s="7">
        <v>0</v>
      </c>
      <c r="N30" s="3">
        <v>93</v>
      </c>
      <c r="O30" s="21" t="s">
        <v>164</v>
      </c>
      <c r="Q30" s="13">
        <v>0.01</v>
      </c>
      <c r="S30" s="50"/>
    </row>
    <row r="31" spans="1:21" x14ac:dyDescent="0.25">
      <c r="A31" s="8" t="s">
        <v>456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7">
        <v>32767</v>
      </c>
      <c r="M31" s="7">
        <v>-32768</v>
      </c>
      <c r="N31" s="3">
        <f>MOTOR0!N14</f>
        <v>-100</v>
      </c>
      <c r="O31" s="21" t="s">
        <v>165</v>
      </c>
      <c r="Q31" s="13" t="s">
        <v>244</v>
      </c>
      <c r="S31" s="50"/>
    </row>
    <row r="32" spans="1:21" x14ac:dyDescent="0.25">
      <c r="A32" s="8" t="s">
        <v>457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7">
        <v>65535</v>
      </c>
      <c r="M32" s="7">
        <v>0</v>
      </c>
      <c r="N32" s="3">
        <v>550</v>
      </c>
      <c r="O32" s="21" t="s">
        <v>166</v>
      </c>
      <c r="Q32" s="13" t="s">
        <v>244</v>
      </c>
      <c r="S32" s="50"/>
    </row>
    <row r="33" spans="1:19" x14ac:dyDescent="0.25">
      <c r="A33" s="8" t="s">
        <v>458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0</v>
      </c>
      <c r="L33" s="7">
        <v>65535</v>
      </c>
      <c r="M33" s="7">
        <v>0</v>
      </c>
      <c r="N33" s="3">
        <v>9</v>
      </c>
      <c r="O33" s="21" t="s">
        <v>167</v>
      </c>
      <c r="Q33" s="13" t="s">
        <v>244</v>
      </c>
      <c r="S33" s="50"/>
    </row>
    <row r="34" spans="1:19" x14ac:dyDescent="0.25">
      <c r="A34" s="8" t="s">
        <v>459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7">
        <v>65535</v>
      </c>
      <c r="M34" s="7">
        <v>0</v>
      </c>
      <c r="N34" s="3">
        <f>120</f>
        <v>120</v>
      </c>
      <c r="O34" s="21" t="s">
        <v>168</v>
      </c>
      <c r="S34" s="50"/>
    </row>
    <row r="35" spans="1:19" x14ac:dyDescent="0.25">
      <c r="A35" s="8" t="s">
        <v>460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7">
        <v>65535</v>
      </c>
      <c r="M35" s="7">
        <v>0</v>
      </c>
      <c r="N35" s="3">
        <f>80</f>
        <v>80</v>
      </c>
      <c r="O35" s="21" t="s">
        <v>169</v>
      </c>
      <c r="S35" s="50"/>
    </row>
    <row r="36" spans="1:19" x14ac:dyDescent="0.25">
      <c r="A36" s="8" t="s">
        <v>461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7">
        <v>32767</v>
      </c>
      <c r="M36" s="7">
        <v>-32768</v>
      </c>
      <c r="N36" s="3">
        <f>MOTOR0!N11</f>
        <v>-100</v>
      </c>
      <c r="O36" s="21" t="s">
        <v>170</v>
      </c>
      <c r="S36" s="50"/>
    </row>
    <row r="37" spans="1:19" x14ac:dyDescent="0.25">
      <c r="A37" s="8" t="s">
        <v>462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7">
        <v>65535</v>
      </c>
      <c r="M37" s="7">
        <v>0</v>
      </c>
      <c r="N37" s="3">
        <v>962</v>
      </c>
      <c r="O37" s="21" t="s">
        <v>171</v>
      </c>
      <c r="S37" s="48" t="s">
        <v>580</v>
      </c>
    </row>
    <row r="38" spans="1:19" x14ac:dyDescent="0.25">
      <c r="A38" s="8" t="s">
        <v>463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  <c r="L38" s="7">
        <v>65535</v>
      </c>
      <c r="M38" s="7">
        <v>0</v>
      </c>
      <c r="N38" s="3">
        <v>250</v>
      </c>
      <c r="O38" s="21" t="s">
        <v>172</v>
      </c>
      <c r="S38" s="49"/>
    </row>
    <row r="39" spans="1:19" x14ac:dyDescent="0.25">
      <c r="A39" s="8" t="s">
        <v>464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7">
        <v>65535</v>
      </c>
      <c r="M39" s="7">
        <v>0</v>
      </c>
      <c r="N39" s="3">
        <v>3810</v>
      </c>
      <c r="O39" s="21" t="s">
        <v>311</v>
      </c>
      <c r="Q39" s="13" t="s">
        <v>238</v>
      </c>
      <c r="S39" s="43" t="s">
        <v>581</v>
      </c>
    </row>
    <row r="40" spans="1:19" x14ac:dyDescent="0.25">
      <c r="A40" s="8" t="s">
        <v>465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7">
        <v>65535</v>
      </c>
      <c r="M40" s="7">
        <v>0</v>
      </c>
      <c r="N40" s="3">
        <v>3760</v>
      </c>
      <c r="O40" s="21" t="s">
        <v>241</v>
      </c>
      <c r="Q40" s="13" t="s">
        <v>238</v>
      </c>
      <c r="S40" s="47"/>
    </row>
    <row r="41" spans="1:19" x14ac:dyDescent="0.25">
      <c r="A41" s="8" t="s">
        <v>466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7">
        <v>65535</v>
      </c>
      <c r="M41" s="7">
        <v>0</v>
      </c>
      <c r="N41" s="3">
        <v>3820</v>
      </c>
      <c r="O41" s="21" t="s">
        <v>242</v>
      </c>
      <c r="Q41" s="13" t="s">
        <v>238</v>
      </c>
      <c r="S41" s="47"/>
    </row>
    <row r="42" spans="1:19" x14ac:dyDescent="0.25">
      <c r="A42" s="8" t="s">
        <v>467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7">
        <v>65535</v>
      </c>
      <c r="M42" s="7">
        <v>0</v>
      </c>
      <c r="N42" s="3">
        <v>10</v>
      </c>
      <c r="O42" s="21" t="s">
        <v>243</v>
      </c>
      <c r="Q42" s="13" t="s">
        <v>245</v>
      </c>
      <c r="S42" s="47"/>
    </row>
    <row r="43" spans="1:19" x14ac:dyDescent="0.25">
      <c r="A43" s="8" t="s">
        <v>468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7">
        <v>65535</v>
      </c>
      <c r="M43" s="7">
        <v>0</v>
      </c>
      <c r="N43" s="3">
        <v>550</v>
      </c>
      <c r="O43" s="21" t="s">
        <v>315</v>
      </c>
      <c r="Q43" s="13" t="s">
        <v>244</v>
      </c>
      <c r="S43" s="47"/>
    </row>
    <row r="44" spans="1:19" x14ac:dyDescent="0.25">
      <c r="A44" s="8" t="s">
        <v>469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7">
        <v>65535</v>
      </c>
      <c r="M44" s="7">
        <v>0</v>
      </c>
      <c r="N44" s="3">
        <v>60</v>
      </c>
      <c r="O44" s="21" t="s">
        <v>316</v>
      </c>
      <c r="Q44" s="13" t="s">
        <v>244</v>
      </c>
      <c r="S44" s="47"/>
    </row>
    <row r="45" spans="1:19" x14ac:dyDescent="0.25">
      <c r="A45" s="8" t="s">
        <v>470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7">
        <v>65535</v>
      </c>
      <c r="M45" s="7">
        <v>0</v>
      </c>
      <c r="N45" s="3">
        <v>0</v>
      </c>
      <c r="O45" s="21" t="s">
        <v>317</v>
      </c>
      <c r="Q45" s="13" t="s">
        <v>244</v>
      </c>
      <c r="S45" s="47"/>
    </row>
    <row r="46" spans="1:19" x14ac:dyDescent="0.25">
      <c r="A46" s="8" t="s">
        <v>471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7">
        <v>65535</v>
      </c>
      <c r="M46" s="7">
        <v>0</v>
      </c>
      <c r="N46" s="3">
        <v>60</v>
      </c>
      <c r="O46" s="21" t="s">
        <v>382</v>
      </c>
      <c r="Q46" s="13" t="s">
        <v>240</v>
      </c>
      <c r="S46" s="47"/>
    </row>
    <row r="47" spans="1:19" x14ac:dyDescent="0.25">
      <c r="A47" s="8" t="s">
        <v>472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7">
        <v>65535</v>
      </c>
      <c r="M47" s="7">
        <v>0</v>
      </c>
      <c r="N47" s="3">
        <v>6</v>
      </c>
      <c r="O47" s="21" t="s">
        <v>312</v>
      </c>
      <c r="Q47" s="13" t="s">
        <v>158</v>
      </c>
      <c r="S47" s="46"/>
    </row>
    <row r="48" spans="1:19" x14ac:dyDescent="0.25">
      <c r="A48" s="8" t="s">
        <v>473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7">
        <v>65535</v>
      </c>
      <c r="M48" s="7">
        <v>0</v>
      </c>
      <c r="N48" s="3">
        <f>N43</f>
        <v>550</v>
      </c>
      <c r="O48" s="21" t="s">
        <v>301</v>
      </c>
      <c r="Q48" s="13" t="s">
        <v>158</v>
      </c>
      <c r="S48" s="43" t="s">
        <v>582</v>
      </c>
    </row>
    <row r="49" spans="1:20" x14ac:dyDescent="0.25">
      <c r="A49" s="8" t="s">
        <v>474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7">
        <v>65535</v>
      </c>
      <c r="M49" s="7">
        <v>0</v>
      </c>
      <c r="N49" s="3">
        <v>4100</v>
      </c>
      <c r="O49" s="21" t="s">
        <v>303</v>
      </c>
      <c r="Q49" s="13" t="s">
        <v>302</v>
      </c>
      <c r="S49" s="47"/>
    </row>
    <row r="50" spans="1:20" x14ac:dyDescent="0.25">
      <c r="A50" s="8" t="s">
        <v>475</v>
      </c>
      <c r="B50" s="3">
        <v>0</v>
      </c>
      <c r="C50" s="3">
        <v>0</v>
      </c>
      <c r="D50" s="3">
        <v>1</v>
      </c>
      <c r="E50" s="3">
        <v>0</v>
      </c>
      <c r="F50" s="3">
        <v>0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7">
        <v>65535</v>
      </c>
      <c r="M50" s="7">
        <v>0</v>
      </c>
      <c r="N50" s="3">
        <v>500</v>
      </c>
      <c r="O50" s="21" t="s">
        <v>304</v>
      </c>
      <c r="Q50" s="13" t="s">
        <v>302</v>
      </c>
      <c r="S50" s="46"/>
    </row>
    <row r="51" spans="1:20" x14ac:dyDescent="0.25">
      <c r="A51" s="8" t="s">
        <v>476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7">
        <v>150</v>
      </c>
      <c r="M51" s="7">
        <v>50</v>
      </c>
      <c r="N51" s="3">
        <v>100</v>
      </c>
      <c r="O51" s="21" t="s">
        <v>383</v>
      </c>
      <c r="Q51" s="13">
        <v>0.01</v>
      </c>
    </row>
    <row r="52" spans="1:20" ht="13.2" customHeight="1" x14ac:dyDescent="0.25">
      <c r="A52" s="8" t="s">
        <v>477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7">
        <v>65535</v>
      </c>
      <c r="M52" s="7">
        <v>0</v>
      </c>
      <c r="N52" s="3">
        <v>100</v>
      </c>
      <c r="O52" s="21" t="s">
        <v>588</v>
      </c>
      <c r="Q52" s="13" t="s">
        <v>593</v>
      </c>
      <c r="S52" s="43" t="s">
        <v>596</v>
      </c>
    </row>
    <row r="53" spans="1:20" x14ac:dyDescent="0.25">
      <c r="A53" s="8" t="s">
        <v>478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7">
        <v>65535</v>
      </c>
      <c r="M53" s="7">
        <v>0</v>
      </c>
      <c r="N53" s="3">
        <v>600</v>
      </c>
      <c r="O53" s="21" t="s">
        <v>589</v>
      </c>
      <c r="Q53" s="13" t="s">
        <v>593</v>
      </c>
      <c r="S53" s="44"/>
    </row>
    <row r="54" spans="1:20" x14ac:dyDescent="0.25">
      <c r="A54" s="8" t="s">
        <v>479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7">
        <v>65535</v>
      </c>
      <c r="M54" s="7">
        <v>0</v>
      </c>
      <c r="N54" s="3">
        <v>10</v>
      </c>
      <c r="O54" s="21" t="s">
        <v>600</v>
      </c>
      <c r="Q54" s="13" t="s">
        <v>594</v>
      </c>
      <c r="S54" s="44"/>
    </row>
    <row r="55" spans="1:20" x14ac:dyDescent="0.25">
      <c r="A55" s="8" t="s">
        <v>480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7">
        <v>65535</v>
      </c>
      <c r="M55" s="7">
        <v>0</v>
      </c>
      <c r="N55" s="3">
        <v>2000</v>
      </c>
      <c r="O55" s="21" t="s">
        <v>601</v>
      </c>
      <c r="Q55" s="13" t="s">
        <v>593</v>
      </c>
      <c r="S55" s="44"/>
    </row>
    <row r="56" spans="1:20" x14ac:dyDescent="0.25">
      <c r="A56" s="8" t="s">
        <v>481</v>
      </c>
      <c r="B56" s="3">
        <v>0</v>
      </c>
      <c r="C56" s="3">
        <v>0</v>
      </c>
      <c r="D56" s="3">
        <v>1</v>
      </c>
      <c r="E56" s="3">
        <v>0</v>
      </c>
      <c r="F56" s="3">
        <v>0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7">
        <v>65535</v>
      </c>
      <c r="M56" s="7">
        <v>0</v>
      </c>
      <c r="N56" s="3">
        <v>100</v>
      </c>
      <c r="O56" s="21" t="s">
        <v>586</v>
      </c>
      <c r="Q56" s="13" t="s">
        <v>594</v>
      </c>
      <c r="S56" s="44"/>
      <c r="T56" s="6" t="s">
        <v>599</v>
      </c>
    </row>
    <row r="57" spans="1:20" x14ac:dyDescent="0.25">
      <c r="A57" s="8" t="s">
        <v>482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7">
        <v>65535</v>
      </c>
      <c r="M57" s="7">
        <v>0</v>
      </c>
      <c r="N57" s="3">
        <v>80</v>
      </c>
      <c r="O57" s="21" t="s">
        <v>587</v>
      </c>
      <c r="Q57" s="13" t="s">
        <v>594</v>
      </c>
      <c r="S57" s="44"/>
    </row>
    <row r="58" spans="1:20" x14ac:dyDescent="0.25">
      <c r="A58" s="8" t="s">
        <v>483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7">
        <v>65535</v>
      </c>
      <c r="M58" s="7">
        <v>0</v>
      </c>
      <c r="N58" s="3">
        <v>250</v>
      </c>
      <c r="O58" s="21" t="s">
        <v>605</v>
      </c>
      <c r="Q58" s="13" t="s">
        <v>595</v>
      </c>
      <c r="S58" s="44"/>
      <c r="T58" s="6" t="s">
        <v>606</v>
      </c>
    </row>
    <row r="59" spans="1:20" x14ac:dyDescent="0.25">
      <c r="A59" s="8" t="s">
        <v>583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7">
        <v>65535</v>
      </c>
      <c r="M59" s="7">
        <v>0</v>
      </c>
      <c r="N59" s="3">
        <v>100</v>
      </c>
      <c r="O59" s="21" t="s">
        <v>590</v>
      </c>
      <c r="Q59" s="13" t="s">
        <v>595</v>
      </c>
      <c r="S59" s="44"/>
    </row>
    <row r="60" spans="1:20" x14ac:dyDescent="0.25">
      <c r="A60" s="8" t="s">
        <v>584</v>
      </c>
      <c r="B60" s="3">
        <v>0</v>
      </c>
      <c r="C60" s="3">
        <v>0</v>
      </c>
      <c r="D60" s="3">
        <v>1</v>
      </c>
      <c r="E60" s="3">
        <v>0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7">
        <v>65535</v>
      </c>
      <c r="M60" s="7">
        <v>0</v>
      </c>
      <c r="N60" s="3">
        <v>150</v>
      </c>
      <c r="O60" s="21" t="s">
        <v>592</v>
      </c>
      <c r="Q60" s="13" t="s">
        <v>594</v>
      </c>
      <c r="S60" s="45"/>
    </row>
    <row r="61" spans="1:20" x14ac:dyDescent="0.25">
      <c r="A61" s="8" t="s">
        <v>585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7">
        <v>1</v>
      </c>
      <c r="M61" s="7">
        <v>0</v>
      </c>
      <c r="N61" s="3">
        <v>0</v>
      </c>
      <c r="O61" s="21" t="s">
        <v>598</v>
      </c>
      <c r="S61" s="34"/>
      <c r="T61" s="5" t="s">
        <v>597</v>
      </c>
    </row>
    <row r="62" spans="1:20" x14ac:dyDescent="0.25">
      <c r="A62" s="8" t="s">
        <v>0</v>
      </c>
    </row>
  </sheetData>
  <mergeCells count="16">
    <mergeCell ref="T23:T24"/>
    <mergeCell ref="S25:S36"/>
    <mergeCell ref="A1:N1"/>
    <mergeCell ref="P1:R1"/>
    <mergeCell ref="A2:N2"/>
    <mergeCell ref="S4:S5"/>
    <mergeCell ref="S6:S9"/>
    <mergeCell ref="S52:S60"/>
    <mergeCell ref="S10:S11"/>
    <mergeCell ref="S13:S15"/>
    <mergeCell ref="S16:S19"/>
    <mergeCell ref="S20:S21"/>
    <mergeCell ref="S37:S38"/>
    <mergeCell ref="S39:S47"/>
    <mergeCell ref="S48:S50"/>
    <mergeCell ref="S22:S2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C4" sqref="C4:C8"/>
    </sheetView>
  </sheetViews>
  <sheetFormatPr defaultColWidth="8.6640625" defaultRowHeight="13.2" x14ac:dyDescent="0.25"/>
  <cols>
    <col min="1" max="1" width="10.6640625" style="10" customWidth="1"/>
    <col min="2" max="11" width="7.6640625" style="4" customWidth="1"/>
    <col min="12" max="12" width="8.6640625" style="4"/>
    <col min="13" max="13" width="9" style="4" customWidth="1"/>
    <col min="14" max="14" width="9.5546875" style="4" customWidth="1"/>
    <col min="15" max="15" width="10.5546875" style="21" customWidth="1"/>
    <col min="16" max="16" width="19.33203125" style="13" customWidth="1"/>
    <col min="17" max="17" width="8.44140625" style="13" customWidth="1"/>
    <col min="18" max="18" width="9.44140625" style="13" customWidth="1"/>
    <col min="19" max="19" width="10.44140625" style="5" customWidth="1"/>
    <col min="20" max="20" width="8.6640625" style="5" customWidth="1"/>
    <col min="21" max="21" width="8.5546875" style="5" customWidth="1"/>
    <col min="22" max="23" width="8.6640625" style="5"/>
  </cols>
  <sheetData>
    <row r="1" spans="1:48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</row>
    <row r="2" spans="1:48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103</v>
      </c>
      <c r="P2" s="17" t="s">
        <v>22</v>
      </c>
      <c r="Q2" s="17" t="s">
        <v>22</v>
      </c>
      <c r="R2" s="17" t="s">
        <v>22</v>
      </c>
    </row>
    <row r="3" spans="1:48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  <c r="T3" s="6"/>
      <c r="U3" s="6"/>
    </row>
    <row r="4" spans="1:48" x14ac:dyDescent="0.25">
      <c r="A4" s="8" t="s">
        <v>259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65536</v>
      </c>
      <c r="M4" s="7">
        <v>0</v>
      </c>
      <c r="N4" s="3">
        <v>0</v>
      </c>
      <c r="O4" s="22" t="s">
        <v>183</v>
      </c>
      <c r="P4" s="11"/>
      <c r="Q4" s="11"/>
      <c r="R4" s="11"/>
      <c r="S4" s="6"/>
      <c r="T4" s="6"/>
      <c r="U4" s="6"/>
    </row>
    <row r="5" spans="1:48" x14ac:dyDescent="0.25">
      <c r="A5" s="8" t="s">
        <v>484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7">
        <v>65536</v>
      </c>
      <c r="M5" s="7">
        <v>0</v>
      </c>
      <c r="N5" s="3">
        <v>0</v>
      </c>
      <c r="O5" s="22" t="s">
        <v>184</v>
      </c>
      <c r="P5" s="11"/>
      <c r="Q5" s="11"/>
      <c r="R5" s="11"/>
      <c r="S5" s="6"/>
      <c r="T5" s="6"/>
      <c r="U5" s="6"/>
    </row>
    <row r="6" spans="1:48" x14ac:dyDescent="0.25">
      <c r="A6" s="8" t="s">
        <v>260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7">
        <v>65536</v>
      </c>
      <c r="M6" s="7">
        <v>0</v>
      </c>
      <c r="N6" s="3">
        <v>1</v>
      </c>
      <c r="O6" s="22" t="s">
        <v>185</v>
      </c>
      <c r="P6" s="12"/>
      <c r="Q6" s="12"/>
    </row>
    <row r="7" spans="1:48" x14ac:dyDescent="0.25">
      <c r="A7" s="8" t="s">
        <v>261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7">
        <v>65536</v>
      </c>
      <c r="M7" s="7">
        <v>0</v>
      </c>
      <c r="N7" s="3">
        <v>0</v>
      </c>
      <c r="O7" s="22" t="s">
        <v>186</v>
      </c>
      <c r="P7" s="12"/>
      <c r="Q7" s="12"/>
    </row>
    <row r="8" spans="1:48" x14ac:dyDescent="0.25">
      <c r="A8" s="8" t="s">
        <v>262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65536</v>
      </c>
      <c r="M8" s="7">
        <v>0</v>
      </c>
      <c r="N8" s="3">
        <v>0</v>
      </c>
      <c r="O8" s="22" t="s">
        <v>237</v>
      </c>
      <c r="P8" s="12"/>
      <c r="Q8" s="12"/>
    </row>
    <row r="9" spans="1:48" s="13" customFormat="1" x14ac:dyDescent="0.25">
      <c r="A9" s="8" t="s">
        <v>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1"/>
      <c r="P9" s="12"/>
      <c r="S9" s="5"/>
      <c r="T9" s="5"/>
      <c r="U9" s="5"/>
      <c r="V9" s="5"/>
      <c r="W9" s="5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="115" zoomScaleNormal="115" workbookViewId="0">
      <selection activeCell="C4" sqref="C4:C7"/>
    </sheetView>
  </sheetViews>
  <sheetFormatPr defaultRowHeight="13.2" x14ac:dyDescent="0.25"/>
  <cols>
    <col min="2" max="5" width="7.6640625" customWidth="1"/>
    <col min="6" max="6" width="10.33203125" customWidth="1"/>
    <col min="7" max="11" width="7.6640625" customWidth="1"/>
    <col min="15" max="15" width="15.33203125" customWidth="1"/>
  </cols>
  <sheetData>
    <row r="1" spans="1:23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  <c r="S1" s="5"/>
    </row>
    <row r="2" spans="1:23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23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23" x14ac:dyDescent="0.25">
      <c r="A4" s="8" t="s">
        <v>307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1</v>
      </c>
      <c r="M4" s="7">
        <v>0</v>
      </c>
      <c r="N4" s="3">
        <v>0</v>
      </c>
      <c r="O4" s="22" t="s">
        <v>319</v>
      </c>
      <c r="P4" s="11"/>
      <c r="Q4" s="11"/>
      <c r="R4" s="11"/>
      <c r="S4" s="6"/>
    </row>
    <row r="5" spans="1:23" x14ac:dyDescent="0.25">
      <c r="A5" s="8" t="s">
        <v>308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7">
        <v>3</v>
      </c>
      <c r="M5" s="7">
        <v>0</v>
      </c>
      <c r="N5" s="3">
        <v>0</v>
      </c>
      <c r="O5" s="22" t="s">
        <v>218</v>
      </c>
      <c r="P5" s="12"/>
      <c r="Q5" s="12"/>
      <c r="R5" s="13"/>
      <c r="S5" s="5"/>
      <c r="T5" s="29" t="s">
        <v>418</v>
      </c>
      <c r="U5" s="29" t="s">
        <v>419</v>
      </c>
      <c r="V5" s="29" t="s">
        <v>320</v>
      </c>
      <c r="W5" s="29"/>
    </row>
    <row r="6" spans="1:23" x14ac:dyDescent="0.25">
      <c r="A6" s="8" t="s">
        <v>309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7">
        <v>1</v>
      </c>
      <c r="M6" s="7">
        <v>0</v>
      </c>
      <c r="N6" s="3">
        <v>0</v>
      </c>
      <c r="O6" s="22" t="s">
        <v>220</v>
      </c>
      <c r="P6" s="12"/>
      <c r="Q6" s="12"/>
      <c r="R6" s="13"/>
      <c r="S6" s="5"/>
      <c r="T6" s="29" t="s">
        <v>321</v>
      </c>
      <c r="U6" s="29" t="s">
        <v>322</v>
      </c>
      <c r="V6" s="29"/>
      <c r="W6" s="29"/>
    </row>
    <row r="7" spans="1:23" x14ac:dyDescent="0.25">
      <c r="A7" s="8" t="s">
        <v>310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7">
        <v>3</v>
      </c>
      <c r="M7" s="7">
        <v>0</v>
      </c>
      <c r="N7" s="3">
        <v>0</v>
      </c>
      <c r="O7" s="22" t="s">
        <v>222</v>
      </c>
      <c r="P7" s="12"/>
      <c r="Q7" s="12"/>
      <c r="R7" s="13"/>
      <c r="S7" s="5"/>
      <c r="T7" s="29" t="s">
        <v>323</v>
      </c>
      <c r="U7" s="29" t="s">
        <v>324</v>
      </c>
      <c r="V7" s="29" t="s">
        <v>325</v>
      </c>
      <c r="W7" s="29" t="s">
        <v>326</v>
      </c>
    </row>
    <row r="8" spans="1:23" x14ac:dyDescent="0.25">
      <c r="A8" s="8" t="s">
        <v>485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1</v>
      </c>
      <c r="M8" s="7">
        <v>0</v>
      </c>
      <c r="N8" s="3">
        <v>0</v>
      </c>
      <c r="O8" s="22" t="s">
        <v>223</v>
      </c>
      <c r="P8" s="12"/>
      <c r="Q8" s="12"/>
      <c r="R8" s="13"/>
      <c r="S8" s="5"/>
    </row>
    <row r="9" spans="1:23" x14ac:dyDescent="0.25">
      <c r="A9" s="8" t="s">
        <v>486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7">
        <v>65535</v>
      </c>
      <c r="M9" s="7">
        <v>0</v>
      </c>
      <c r="N9" s="3">
        <v>0</v>
      </c>
      <c r="O9" s="22" t="s">
        <v>224</v>
      </c>
      <c r="P9" s="12"/>
      <c r="Q9" s="12"/>
      <c r="R9" s="13"/>
      <c r="S9" s="5"/>
    </row>
    <row r="10" spans="1:23" x14ac:dyDescent="0.25">
      <c r="A10" s="8" t="s">
        <v>487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7">
        <v>65535</v>
      </c>
      <c r="M10" s="7">
        <v>0</v>
      </c>
      <c r="N10" s="3">
        <v>0</v>
      </c>
      <c r="O10" s="22" t="s">
        <v>225</v>
      </c>
      <c r="P10" s="12"/>
      <c r="Q10" s="12"/>
      <c r="R10" s="13"/>
      <c r="S10" s="5"/>
    </row>
    <row r="11" spans="1:23" x14ac:dyDescent="0.25">
      <c r="A11" s="8" t="s">
        <v>488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7">
        <v>65535</v>
      </c>
      <c r="M11" s="7">
        <v>0</v>
      </c>
      <c r="N11" s="3">
        <v>0</v>
      </c>
      <c r="O11" s="22" t="s">
        <v>226</v>
      </c>
      <c r="P11" s="12"/>
      <c r="Q11" s="12"/>
      <c r="R11" s="13"/>
      <c r="S11" s="5"/>
    </row>
    <row r="12" spans="1:23" x14ac:dyDescent="0.25">
      <c r="A12" s="8" t="s">
        <v>489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7">
        <v>65535</v>
      </c>
      <c r="M12" s="7">
        <v>0</v>
      </c>
      <c r="N12" s="3">
        <v>0</v>
      </c>
      <c r="O12" s="22" t="s">
        <v>227</v>
      </c>
      <c r="P12" s="12"/>
      <c r="Q12" s="12"/>
      <c r="R12" s="13"/>
      <c r="S12" s="5"/>
    </row>
    <row r="13" spans="1:23" x14ac:dyDescent="0.25">
      <c r="A13" s="8" t="s">
        <v>490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7">
        <v>65535</v>
      </c>
      <c r="M13" s="7">
        <v>0</v>
      </c>
      <c r="N13" s="3">
        <v>0</v>
      </c>
      <c r="O13" s="22" t="s">
        <v>228</v>
      </c>
      <c r="P13" s="12"/>
      <c r="Q13" s="12"/>
      <c r="R13" s="13"/>
      <c r="S13" s="5"/>
    </row>
    <row r="14" spans="1:23" x14ac:dyDescent="0.25">
      <c r="A14" s="8" t="s">
        <v>491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7">
        <v>65535</v>
      </c>
      <c r="M14" s="7">
        <v>0</v>
      </c>
      <c r="N14" s="3">
        <v>0</v>
      </c>
      <c r="O14" s="22" t="s">
        <v>229</v>
      </c>
      <c r="P14" s="12"/>
      <c r="Q14" s="12"/>
      <c r="R14" s="13"/>
      <c r="S14" s="5"/>
    </row>
    <row r="15" spans="1:23" x14ac:dyDescent="0.25">
      <c r="A15" s="8" t="s">
        <v>492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7">
        <v>65535</v>
      </c>
      <c r="M15" s="7">
        <v>0</v>
      </c>
      <c r="N15" s="3">
        <v>0</v>
      </c>
      <c r="O15" s="22" t="s">
        <v>230</v>
      </c>
      <c r="P15" s="12"/>
      <c r="Q15" s="12"/>
      <c r="R15" s="13"/>
      <c r="S15" s="5"/>
    </row>
    <row r="16" spans="1:23" x14ac:dyDescent="0.25">
      <c r="A16" s="8" t="s">
        <v>493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7">
        <v>65535</v>
      </c>
      <c r="M16" s="7">
        <v>0</v>
      </c>
      <c r="N16" s="3">
        <v>0</v>
      </c>
      <c r="O16" s="22" t="s">
        <v>231</v>
      </c>
      <c r="P16" s="12"/>
      <c r="Q16" s="12"/>
      <c r="R16" s="13"/>
      <c r="S16" s="5"/>
    </row>
    <row r="17" spans="1:21" x14ac:dyDescent="0.25">
      <c r="A17" s="8" t="s">
        <v>494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7">
        <v>65535</v>
      </c>
      <c r="M17" s="7">
        <v>0</v>
      </c>
      <c r="N17" s="3">
        <v>0</v>
      </c>
      <c r="O17" s="22" t="s">
        <v>232</v>
      </c>
      <c r="P17" s="12"/>
      <c r="Q17" s="12"/>
      <c r="R17" s="13"/>
      <c r="S17" s="5"/>
    </row>
    <row r="18" spans="1:21" x14ac:dyDescent="0.25">
      <c r="A18" s="8" t="s">
        <v>495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7">
        <v>65535</v>
      </c>
      <c r="M18" s="7">
        <v>0</v>
      </c>
      <c r="N18" s="3">
        <v>0</v>
      </c>
      <c r="O18" s="22" t="s">
        <v>233</v>
      </c>
      <c r="P18" s="12"/>
      <c r="Q18" s="12"/>
      <c r="R18" s="13"/>
      <c r="S18" s="5"/>
    </row>
    <row r="19" spans="1:21" x14ac:dyDescent="0.25">
      <c r="A19" s="8" t="s">
        <v>496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7">
        <v>65535</v>
      </c>
      <c r="M19" s="7">
        <v>0</v>
      </c>
      <c r="N19" s="3">
        <v>0</v>
      </c>
      <c r="O19" s="22" t="s">
        <v>234</v>
      </c>
      <c r="P19" s="12"/>
      <c r="Q19" s="12"/>
      <c r="R19" s="13"/>
      <c r="S19" s="5"/>
    </row>
    <row r="20" spans="1:21" x14ac:dyDescent="0.25">
      <c r="A20" s="8" t="s">
        <v>497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7">
        <v>65535</v>
      </c>
      <c r="M20" s="7">
        <v>0</v>
      </c>
      <c r="N20" s="3">
        <v>0</v>
      </c>
      <c r="O20" s="22" t="s">
        <v>235</v>
      </c>
      <c r="P20" s="12"/>
      <c r="Q20" s="12"/>
      <c r="R20" s="13"/>
      <c r="S20" s="5"/>
    </row>
    <row r="21" spans="1:21" x14ac:dyDescent="0.25">
      <c r="A21" s="8" t="s">
        <v>498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7">
        <v>200</v>
      </c>
      <c r="M21" s="7">
        <v>0</v>
      </c>
      <c r="N21" s="3">
        <v>0</v>
      </c>
      <c r="O21" s="22" t="s">
        <v>208</v>
      </c>
      <c r="P21" s="11"/>
      <c r="Q21" s="12" t="s">
        <v>278</v>
      </c>
      <c r="R21" s="11"/>
      <c r="S21" s="6"/>
    </row>
    <row r="22" spans="1:21" x14ac:dyDescent="0.25">
      <c r="A22" s="8" t="s">
        <v>499</v>
      </c>
      <c r="B22" s="3">
        <v>0</v>
      </c>
      <c r="C22" s="3">
        <v>0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7">
        <v>200</v>
      </c>
      <c r="M22" s="7">
        <v>0</v>
      </c>
      <c r="N22" s="3">
        <v>2</v>
      </c>
      <c r="O22" s="22" t="s">
        <v>188</v>
      </c>
      <c r="P22" s="12"/>
      <c r="Q22" s="12" t="s">
        <v>278</v>
      </c>
      <c r="R22" s="13"/>
      <c r="S22" s="5"/>
    </row>
    <row r="23" spans="1:21" x14ac:dyDescent="0.25">
      <c r="A23" s="8" t="s">
        <v>500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7">
        <v>80</v>
      </c>
      <c r="M23" s="7">
        <v>0</v>
      </c>
      <c r="N23" s="3">
        <v>2</v>
      </c>
      <c r="O23" s="22" t="s">
        <v>198</v>
      </c>
      <c r="P23" s="12"/>
      <c r="Q23" s="12"/>
      <c r="R23" s="26" t="s">
        <v>327</v>
      </c>
      <c r="S23" s="5"/>
    </row>
    <row r="24" spans="1:21" x14ac:dyDescent="0.25">
      <c r="A24" s="8" t="s">
        <v>501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7">
        <v>200</v>
      </c>
      <c r="M24" s="7">
        <v>0</v>
      </c>
      <c r="N24" s="3">
        <v>0</v>
      </c>
      <c r="O24" s="22" t="s">
        <v>328</v>
      </c>
      <c r="P24" s="11"/>
      <c r="Q24" s="12" t="s">
        <v>278</v>
      </c>
      <c r="R24" s="11"/>
      <c r="S24" s="6"/>
      <c r="T24" s="29" t="s">
        <v>329</v>
      </c>
      <c r="U24" s="29" t="s">
        <v>330</v>
      </c>
    </row>
    <row r="25" spans="1:21" x14ac:dyDescent="0.25">
      <c r="A25" s="8" t="s">
        <v>502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7">
        <v>200</v>
      </c>
      <c r="M25" s="7">
        <v>0</v>
      </c>
      <c r="N25" s="3">
        <v>2</v>
      </c>
      <c r="O25" s="22" t="s">
        <v>189</v>
      </c>
      <c r="P25" s="12"/>
      <c r="Q25" s="12" t="s">
        <v>278</v>
      </c>
      <c r="R25" s="13"/>
      <c r="S25" s="5"/>
      <c r="T25" s="29" t="s">
        <v>331</v>
      </c>
      <c r="U25" s="29" t="s">
        <v>332</v>
      </c>
    </row>
    <row r="26" spans="1:21" x14ac:dyDescent="0.25">
      <c r="A26" s="8" t="s">
        <v>503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7">
        <v>80</v>
      </c>
      <c r="M26" s="7">
        <v>0</v>
      </c>
      <c r="N26" s="3">
        <v>2</v>
      </c>
      <c r="O26" s="22" t="s">
        <v>333</v>
      </c>
      <c r="P26" s="12"/>
      <c r="Q26" s="12"/>
      <c r="R26" s="13"/>
      <c r="S26" s="5"/>
      <c r="T26" s="29" t="s">
        <v>334</v>
      </c>
      <c r="U26" s="29" t="s">
        <v>335</v>
      </c>
    </row>
    <row r="27" spans="1:21" x14ac:dyDescent="0.25">
      <c r="A27" s="8" t="s">
        <v>504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7">
        <v>200</v>
      </c>
      <c r="M27" s="7">
        <v>0</v>
      </c>
      <c r="N27" s="3">
        <v>0</v>
      </c>
      <c r="O27" s="22" t="s">
        <v>336</v>
      </c>
      <c r="P27" s="11"/>
      <c r="Q27" s="12" t="s">
        <v>278</v>
      </c>
      <c r="R27" s="11"/>
      <c r="S27" s="6"/>
      <c r="T27" s="29" t="s">
        <v>337</v>
      </c>
      <c r="U27" s="29" t="s">
        <v>338</v>
      </c>
    </row>
    <row r="28" spans="1:21" x14ac:dyDescent="0.25">
      <c r="A28" s="8" t="s">
        <v>505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7">
        <v>200</v>
      </c>
      <c r="M28" s="7">
        <v>0</v>
      </c>
      <c r="N28" s="3">
        <v>2</v>
      </c>
      <c r="O28" s="22" t="s">
        <v>339</v>
      </c>
      <c r="P28" s="12"/>
      <c r="Q28" s="12" t="s">
        <v>278</v>
      </c>
      <c r="R28" s="13"/>
      <c r="S28" s="5"/>
    </row>
    <row r="29" spans="1:21" x14ac:dyDescent="0.25">
      <c r="A29" s="8" t="s">
        <v>506</v>
      </c>
      <c r="B29" s="3">
        <v>0</v>
      </c>
      <c r="C29" s="3">
        <v>0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>
        <v>0</v>
      </c>
      <c r="L29" s="7">
        <v>80</v>
      </c>
      <c r="M29" s="7">
        <v>0</v>
      </c>
      <c r="N29" s="3">
        <v>2</v>
      </c>
      <c r="O29" s="22" t="s">
        <v>340</v>
      </c>
      <c r="P29" s="12"/>
      <c r="Q29" s="12"/>
      <c r="R29" s="13"/>
      <c r="S29" s="5"/>
    </row>
    <row r="30" spans="1:21" x14ac:dyDescent="0.25">
      <c r="A30" s="8" t="s">
        <v>507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7">
        <v>200</v>
      </c>
      <c r="M30" s="7">
        <v>0</v>
      </c>
      <c r="N30" s="3">
        <v>0</v>
      </c>
      <c r="O30" s="22" t="s">
        <v>341</v>
      </c>
      <c r="P30" s="11"/>
      <c r="Q30" s="12" t="s">
        <v>278</v>
      </c>
      <c r="R30" s="11"/>
      <c r="S30" s="6"/>
    </row>
    <row r="31" spans="1:21" x14ac:dyDescent="0.25">
      <c r="A31" s="8" t="s">
        <v>508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7">
        <v>200</v>
      </c>
      <c r="M31" s="7">
        <v>0</v>
      </c>
      <c r="N31" s="3">
        <v>2</v>
      </c>
      <c r="O31" s="22" t="s">
        <v>342</v>
      </c>
      <c r="P31" s="12"/>
      <c r="Q31" s="12" t="s">
        <v>278</v>
      </c>
      <c r="R31" s="13"/>
      <c r="S31" s="5"/>
    </row>
    <row r="32" spans="1:21" x14ac:dyDescent="0.25">
      <c r="A32" s="8" t="s">
        <v>509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</v>
      </c>
      <c r="K32" s="3">
        <v>0</v>
      </c>
      <c r="L32" s="7">
        <v>80</v>
      </c>
      <c r="M32" s="7">
        <v>0</v>
      </c>
      <c r="N32" s="3">
        <v>2</v>
      </c>
      <c r="O32" s="22" t="s">
        <v>343</v>
      </c>
      <c r="P32" s="12"/>
      <c r="Q32" s="12"/>
      <c r="R32" s="13"/>
      <c r="S32" s="5"/>
    </row>
    <row r="33" spans="1:19" x14ac:dyDescent="0.25">
      <c r="A33" s="8" t="s">
        <v>510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7">
        <v>200</v>
      </c>
      <c r="M33" s="7">
        <v>0</v>
      </c>
      <c r="N33" s="3">
        <v>0</v>
      </c>
      <c r="O33" s="22" t="s">
        <v>344</v>
      </c>
      <c r="P33" s="11"/>
      <c r="Q33" s="12" t="s">
        <v>278</v>
      </c>
      <c r="R33" s="11"/>
      <c r="S33" s="6"/>
    </row>
    <row r="34" spans="1:19" x14ac:dyDescent="0.25">
      <c r="A34" s="8" t="s">
        <v>511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7">
        <v>200</v>
      </c>
      <c r="M34" s="7">
        <v>0</v>
      </c>
      <c r="N34" s="3">
        <v>2</v>
      </c>
      <c r="O34" s="22" t="s">
        <v>345</v>
      </c>
      <c r="P34" s="12"/>
      <c r="Q34" s="12" t="s">
        <v>278</v>
      </c>
      <c r="R34" s="13"/>
      <c r="S34" s="5"/>
    </row>
    <row r="35" spans="1:19" x14ac:dyDescent="0.25">
      <c r="A35" s="8" t="s">
        <v>512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7">
        <v>80</v>
      </c>
      <c r="M35" s="7">
        <v>0</v>
      </c>
      <c r="N35" s="3">
        <v>2</v>
      </c>
      <c r="O35" s="22" t="s">
        <v>346</v>
      </c>
      <c r="P35" s="12"/>
      <c r="Q35" s="12"/>
      <c r="R35" s="13"/>
      <c r="S35" s="5"/>
    </row>
    <row r="36" spans="1:19" x14ac:dyDescent="0.25">
      <c r="A36" s="8" t="s">
        <v>513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7">
        <v>200</v>
      </c>
      <c r="M36" s="7">
        <v>0</v>
      </c>
      <c r="N36" s="3">
        <v>0</v>
      </c>
      <c r="O36" s="22" t="s">
        <v>347</v>
      </c>
      <c r="P36" s="11"/>
      <c r="Q36" s="12" t="s">
        <v>278</v>
      </c>
      <c r="R36" s="11"/>
      <c r="S36" s="6"/>
    </row>
    <row r="37" spans="1:19" x14ac:dyDescent="0.25">
      <c r="A37" s="8" t="s">
        <v>514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7">
        <v>200</v>
      </c>
      <c r="M37" s="7">
        <v>0</v>
      </c>
      <c r="N37" s="3">
        <v>2</v>
      </c>
      <c r="O37" s="22" t="s">
        <v>348</v>
      </c>
      <c r="P37" s="12"/>
      <c r="Q37" s="12" t="s">
        <v>278</v>
      </c>
      <c r="R37" s="13"/>
      <c r="S37" s="5"/>
    </row>
    <row r="38" spans="1:19" x14ac:dyDescent="0.25">
      <c r="A38" s="8" t="s">
        <v>515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7">
        <v>80</v>
      </c>
      <c r="M38" s="7">
        <v>0</v>
      </c>
      <c r="N38" s="3">
        <v>2</v>
      </c>
      <c r="O38" s="22" t="s">
        <v>349</v>
      </c>
      <c r="P38" s="12"/>
      <c r="Q38" s="12"/>
      <c r="R38" s="13"/>
      <c r="S38" s="5"/>
    </row>
    <row r="39" spans="1:19" x14ac:dyDescent="0.25">
      <c r="A39" s="8" t="s">
        <v>516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7">
        <v>200</v>
      </c>
      <c r="M39" s="7">
        <v>0</v>
      </c>
      <c r="N39" s="3">
        <v>0</v>
      </c>
      <c r="O39" s="22" t="s">
        <v>350</v>
      </c>
      <c r="P39" s="11"/>
      <c r="Q39" s="12" t="s">
        <v>278</v>
      </c>
      <c r="R39" s="11"/>
      <c r="S39" s="6"/>
    </row>
    <row r="40" spans="1:19" x14ac:dyDescent="0.25">
      <c r="A40" s="8" t="s">
        <v>517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7">
        <v>200</v>
      </c>
      <c r="M40" s="7">
        <v>0</v>
      </c>
      <c r="N40" s="3">
        <v>2</v>
      </c>
      <c r="O40" s="22" t="s">
        <v>351</v>
      </c>
      <c r="P40" s="12"/>
      <c r="Q40" s="12" t="s">
        <v>278</v>
      </c>
      <c r="R40" s="13"/>
      <c r="S40" s="5"/>
    </row>
    <row r="41" spans="1:19" x14ac:dyDescent="0.25">
      <c r="A41" s="8" t="s">
        <v>518</v>
      </c>
      <c r="B41" s="3">
        <v>0</v>
      </c>
      <c r="C41" s="3">
        <v>0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7">
        <v>80</v>
      </c>
      <c r="M41" s="7">
        <v>0</v>
      </c>
      <c r="N41" s="3">
        <v>2</v>
      </c>
      <c r="O41" s="22" t="s">
        <v>352</v>
      </c>
      <c r="P41" s="12"/>
      <c r="Q41" s="12"/>
      <c r="R41" s="13"/>
      <c r="S41" s="5"/>
    </row>
    <row r="42" spans="1:19" x14ac:dyDescent="0.25">
      <c r="A42" s="8" t="s">
        <v>519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7">
        <v>200</v>
      </c>
      <c r="M42" s="7">
        <v>0</v>
      </c>
      <c r="N42" s="3">
        <v>0</v>
      </c>
      <c r="O42" s="22" t="s">
        <v>353</v>
      </c>
      <c r="P42" s="11"/>
      <c r="Q42" s="12" t="s">
        <v>278</v>
      </c>
      <c r="R42" s="11"/>
      <c r="S42" s="6"/>
    </row>
    <row r="43" spans="1:19" x14ac:dyDescent="0.25">
      <c r="A43" s="8" t="s">
        <v>520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7">
        <v>200</v>
      </c>
      <c r="M43" s="7">
        <v>0</v>
      </c>
      <c r="N43" s="3">
        <v>2</v>
      </c>
      <c r="O43" s="22" t="s">
        <v>354</v>
      </c>
      <c r="P43" s="12"/>
      <c r="Q43" s="12" t="s">
        <v>278</v>
      </c>
      <c r="R43" s="13"/>
      <c r="S43" s="5"/>
    </row>
    <row r="44" spans="1:19" x14ac:dyDescent="0.25">
      <c r="A44" s="8" t="s">
        <v>521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7">
        <v>80</v>
      </c>
      <c r="M44" s="7">
        <v>0</v>
      </c>
      <c r="N44" s="3">
        <v>2</v>
      </c>
      <c r="O44" s="22" t="s">
        <v>355</v>
      </c>
      <c r="P44" s="12"/>
      <c r="Q44" s="12"/>
      <c r="R44" s="13"/>
      <c r="S44" s="5"/>
    </row>
    <row r="45" spans="1:19" x14ac:dyDescent="0.25">
      <c r="A45" s="8" t="s">
        <v>522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7">
        <v>200</v>
      </c>
      <c r="M45" s="7">
        <v>0</v>
      </c>
      <c r="N45" s="3">
        <v>0</v>
      </c>
      <c r="O45" s="22" t="s">
        <v>356</v>
      </c>
      <c r="P45" s="11"/>
      <c r="Q45" s="12" t="s">
        <v>278</v>
      </c>
      <c r="R45" s="11"/>
      <c r="S45" s="6"/>
    </row>
    <row r="46" spans="1:19" x14ac:dyDescent="0.25">
      <c r="A46" s="8" t="s">
        <v>523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7">
        <v>200</v>
      </c>
      <c r="M46" s="7">
        <v>0</v>
      </c>
      <c r="N46" s="3">
        <v>2</v>
      </c>
      <c r="O46" s="22" t="s">
        <v>357</v>
      </c>
      <c r="P46" s="12"/>
      <c r="Q46" s="12" t="s">
        <v>278</v>
      </c>
      <c r="R46" s="13"/>
      <c r="S46" s="5"/>
    </row>
    <row r="47" spans="1:19" x14ac:dyDescent="0.25">
      <c r="A47" s="8" t="s">
        <v>524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7">
        <v>80</v>
      </c>
      <c r="M47" s="7">
        <v>0</v>
      </c>
      <c r="N47" s="3">
        <v>2</v>
      </c>
      <c r="O47" s="22" t="s">
        <v>358</v>
      </c>
      <c r="P47" s="12"/>
      <c r="Q47" s="12"/>
      <c r="R47" s="13"/>
      <c r="S47" s="5"/>
    </row>
    <row r="48" spans="1:19" x14ac:dyDescent="0.25">
      <c r="A48" s="8" t="s">
        <v>525</v>
      </c>
      <c r="B48" s="3">
        <v>0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7">
        <v>65535</v>
      </c>
      <c r="M48" s="7">
        <v>0</v>
      </c>
      <c r="N48" s="3">
        <v>0</v>
      </c>
      <c r="O48" s="21" t="s">
        <v>359</v>
      </c>
      <c r="P48" s="12"/>
      <c r="Q48" s="13"/>
      <c r="R48" s="26" t="s">
        <v>360</v>
      </c>
      <c r="S48" s="5"/>
    </row>
    <row r="49" spans="1:19" x14ac:dyDescent="0.25">
      <c r="A49" s="8" t="s">
        <v>526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7">
        <v>65535</v>
      </c>
      <c r="M49" s="7">
        <v>0</v>
      </c>
      <c r="N49" s="3">
        <v>0</v>
      </c>
      <c r="O49" s="21" t="s">
        <v>361</v>
      </c>
      <c r="P49" s="12"/>
      <c r="Q49" s="13"/>
      <c r="R49" s="26" t="s">
        <v>360</v>
      </c>
      <c r="S49" s="5"/>
    </row>
    <row r="50" spans="1:19" x14ac:dyDescent="0.25">
      <c r="A50" s="8" t="s">
        <v>527</v>
      </c>
      <c r="B50" s="3">
        <v>0</v>
      </c>
      <c r="C50" s="3">
        <v>0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7">
        <v>65535</v>
      </c>
      <c r="M50" s="7">
        <v>0</v>
      </c>
      <c r="N50" s="3">
        <v>0</v>
      </c>
      <c r="O50" s="21" t="s">
        <v>362</v>
      </c>
      <c r="P50" s="12"/>
      <c r="Q50" s="13"/>
      <c r="R50" s="26" t="s">
        <v>360</v>
      </c>
      <c r="S50" s="5"/>
    </row>
    <row r="51" spans="1:19" x14ac:dyDescent="0.25">
      <c r="A51" s="8" t="s">
        <v>528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7">
        <v>65535</v>
      </c>
      <c r="M51" s="7">
        <v>0</v>
      </c>
      <c r="N51" s="3">
        <v>0</v>
      </c>
      <c r="O51" s="21" t="s">
        <v>363</v>
      </c>
      <c r="P51" s="12"/>
      <c r="Q51" s="13"/>
      <c r="R51" s="26" t="s">
        <v>360</v>
      </c>
      <c r="S51" s="5"/>
    </row>
    <row r="52" spans="1:19" x14ac:dyDescent="0.25">
      <c r="A52" s="8" t="s">
        <v>529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7">
        <v>65535</v>
      </c>
      <c r="M52" s="7">
        <v>0</v>
      </c>
      <c r="N52" s="3">
        <v>0</v>
      </c>
      <c r="O52" s="21" t="s">
        <v>364</v>
      </c>
      <c r="P52" s="12"/>
      <c r="Q52" s="13"/>
      <c r="R52" s="26" t="s">
        <v>360</v>
      </c>
      <c r="S52" s="5"/>
    </row>
    <row r="53" spans="1:19" x14ac:dyDescent="0.25">
      <c r="A53" s="8" t="s">
        <v>530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7">
        <v>65535</v>
      </c>
      <c r="M53" s="7">
        <v>0</v>
      </c>
      <c r="N53" s="3">
        <v>0</v>
      </c>
      <c r="O53" s="21" t="s">
        <v>365</v>
      </c>
      <c r="P53" s="12"/>
      <c r="Q53" s="13"/>
      <c r="R53" s="26" t="s">
        <v>360</v>
      </c>
      <c r="S53" s="5"/>
    </row>
    <row r="54" spans="1:19" x14ac:dyDescent="0.25">
      <c r="A54" s="8" t="s">
        <v>531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7">
        <v>65535</v>
      </c>
      <c r="M54" s="7">
        <v>0</v>
      </c>
      <c r="N54" s="3">
        <v>0</v>
      </c>
      <c r="O54" s="21" t="s">
        <v>366</v>
      </c>
      <c r="P54" s="12"/>
      <c r="Q54" s="13"/>
      <c r="R54" s="26" t="s">
        <v>360</v>
      </c>
      <c r="S54" s="5"/>
    </row>
    <row r="55" spans="1:19" x14ac:dyDescent="0.25">
      <c r="A55" s="8" t="s">
        <v>532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7">
        <v>65535</v>
      </c>
      <c r="M55" s="7">
        <v>0</v>
      </c>
      <c r="N55" s="3">
        <v>0</v>
      </c>
      <c r="O55" s="21" t="s">
        <v>367</v>
      </c>
      <c r="P55" s="12"/>
      <c r="Q55" s="13"/>
      <c r="R55" s="26" t="s">
        <v>360</v>
      </c>
      <c r="S55" s="5"/>
    </row>
    <row r="56" spans="1:19" x14ac:dyDescent="0.25">
      <c r="A56" s="8" t="s">
        <v>533</v>
      </c>
      <c r="B56" s="3">
        <v>0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7">
        <v>65535</v>
      </c>
      <c r="M56" s="7">
        <v>0</v>
      </c>
      <c r="N56" s="3">
        <v>0</v>
      </c>
      <c r="O56" s="21" t="s">
        <v>368</v>
      </c>
      <c r="P56" s="12"/>
      <c r="Q56" s="13"/>
      <c r="R56" s="26" t="s">
        <v>360</v>
      </c>
      <c r="S56" s="5"/>
    </row>
    <row r="57" spans="1:19" x14ac:dyDescent="0.25">
      <c r="A57" s="8" t="s">
        <v>534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7">
        <v>65535</v>
      </c>
      <c r="M57" s="7">
        <v>0</v>
      </c>
      <c r="N57" s="3">
        <v>0</v>
      </c>
      <c r="O57" s="21" t="s">
        <v>369</v>
      </c>
      <c r="P57" s="12"/>
      <c r="Q57" s="13"/>
      <c r="R57" s="26" t="s">
        <v>360</v>
      </c>
      <c r="S57" s="5"/>
    </row>
    <row r="58" spans="1:19" x14ac:dyDescent="0.25">
      <c r="A58" s="8" t="s">
        <v>535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7">
        <v>65535</v>
      </c>
      <c r="M58" s="7">
        <v>0</v>
      </c>
      <c r="N58" s="3">
        <v>0</v>
      </c>
      <c r="O58" s="21" t="s">
        <v>370</v>
      </c>
      <c r="P58" s="12"/>
      <c r="Q58" s="13"/>
      <c r="R58" s="26" t="s">
        <v>360</v>
      </c>
      <c r="S58" s="5"/>
    </row>
    <row r="59" spans="1:19" x14ac:dyDescent="0.25">
      <c r="A59" s="8" t="s">
        <v>536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7">
        <v>65535</v>
      </c>
      <c r="M59" s="7">
        <v>0</v>
      </c>
      <c r="N59" s="3">
        <v>0</v>
      </c>
      <c r="O59" s="21" t="s">
        <v>371</v>
      </c>
      <c r="P59" s="12"/>
      <c r="Q59" s="13"/>
      <c r="R59" s="26" t="s">
        <v>360</v>
      </c>
      <c r="S59" s="5"/>
    </row>
    <row r="60" spans="1:19" x14ac:dyDescent="0.25">
      <c r="A60" s="8" t="s">
        <v>537</v>
      </c>
      <c r="B60" s="3">
        <v>0</v>
      </c>
      <c r="C60" s="3">
        <v>0</v>
      </c>
      <c r="D60" s="3">
        <v>1</v>
      </c>
      <c r="E60" s="3">
        <v>0</v>
      </c>
      <c r="F60" s="3">
        <v>1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7">
        <v>1</v>
      </c>
      <c r="M60" s="7">
        <v>0</v>
      </c>
      <c r="N60" s="3">
        <v>0</v>
      </c>
      <c r="O60" s="30" t="s">
        <v>372</v>
      </c>
      <c r="P60" s="12"/>
      <c r="Q60" s="13"/>
      <c r="R60" s="26" t="s">
        <v>373</v>
      </c>
      <c r="S60" s="5"/>
    </row>
    <row r="61" spans="1:19" x14ac:dyDescent="0.25">
      <c r="A61" s="8" t="s">
        <v>538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7">
        <v>1</v>
      </c>
      <c r="M61" s="7">
        <v>0</v>
      </c>
      <c r="N61" s="3">
        <v>0</v>
      </c>
      <c r="O61" s="21" t="s">
        <v>374</v>
      </c>
      <c r="P61" s="12"/>
      <c r="Q61" s="13"/>
      <c r="R61" s="26" t="s">
        <v>373</v>
      </c>
      <c r="S61" s="5"/>
    </row>
    <row r="62" spans="1:19" x14ac:dyDescent="0.25">
      <c r="A62" s="8" t="s">
        <v>539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7">
        <v>65535</v>
      </c>
      <c r="M62" s="7">
        <v>0</v>
      </c>
      <c r="N62" s="3">
        <v>0</v>
      </c>
      <c r="O62" s="21" t="s">
        <v>375</v>
      </c>
      <c r="P62" s="12"/>
      <c r="Q62" s="13"/>
      <c r="R62" s="26" t="s">
        <v>373</v>
      </c>
      <c r="S62" s="5"/>
    </row>
    <row r="63" spans="1:19" x14ac:dyDescent="0.25">
      <c r="A63" s="8" t="s">
        <v>540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7">
        <v>65535</v>
      </c>
      <c r="M63" s="7">
        <v>0</v>
      </c>
      <c r="N63" s="3">
        <v>0</v>
      </c>
      <c r="O63" s="21" t="s">
        <v>376</v>
      </c>
      <c r="P63" s="12"/>
      <c r="Q63" s="13"/>
      <c r="R63" s="26" t="s">
        <v>373</v>
      </c>
      <c r="S63" s="5"/>
    </row>
    <row r="64" spans="1:19" x14ac:dyDescent="0.25">
      <c r="A64" s="8" t="s">
        <v>541</v>
      </c>
      <c r="B64" s="3">
        <v>0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7">
        <v>65535</v>
      </c>
      <c r="M64" s="7">
        <v>0</v>
      </c>
      <c r="N64" s="3">
        <v>0</v>
      </c>
      <c r="O64" s="21" t="s">
        <v>377</v>
      </c>
      <c r="P64" s="12"/>
      <c r="Q64" s="13"/>
      <c r="R64" s="26" t="s">
        <v>373</v>
      </c>
      <c r="S64" s="5"/>
    </row>
    <row r="65" spans="1:19" x14ac:dyDescent="0.25">
      <c r="A65" s="8" t="s">
        <v>542</v>
      </c>
      <c r="B65" s="3">
        <v>0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7">
        <v>65535</v>
      </c>
      <c r="M65" s="7">
        <v>0</v>
      </c>
      <c r="N65" s="3">
        <v>0</v>
      </c>
      <c r="O65" s="21" t="s">
        <v>378</v>
      </c>
      <c r="P65" s="12"/>
      <c r="Q65" s="13"/>
      <c r="R65" s="26" t="s">
        <v>373</v>
      </c>
      <c r="S65" s="5"/>
    </row>
    <row r="66" spans="1:19" x14ac:dyDescent="0.25">
      <c r="A66" s="8" t="s">
        <v>543</v>
      </c>
      <c r="B66" s="3">
        <v>0</v>
      </c>
      <c r="C66" s="3">
        <v>0</v>
      </c>
      <c r="D66" s="3">
        <v>1</v>
      </c>
      <c r="E66" s="3">
        <v>0</v>
      </c>
      <c r="F66" s="3">
        <v>1</v>
      </c>
      <c r="G66" s="3">
        <v>0</v>
      </c>
      <c r="H66" s="3">
        <v>0</v>
      </c>
      <c r="I66" s="3">
        <v>0</v>
      </c>
      <c r="J66" s="3">
        <v>1</v>
      </c>
      <c r="K66" s="3">
        <v>0</v>
      </c>
      <c r="L66" s="7">
        <v>200</v>
      </c>
      <c r="M66" s="7">
        <v>0</v>
      </c>
      <c r="N66" s="3">
        <v>0</v>
      </c>
      <c r="O66" s="21" t="s">
        <v>379</v>
      </c>
      <c r="P66" s="12"/>
      <c r="Q66" s="13"/>
      <c r="R66" s="26" t="s">
        <v>373</v>
      </c>
      <c r="S66" s="5"/>
    </row>
    <row r="67" spans="1:19" x14ac:dyDescent="0.25">
      <c r="A67" s="8" t="s">
        <v>544</v>
      </c>
      <c r="B67" s="3">
        <v>0</v>
      </c>
      <c r="C67" s="3">
        <v>0</v>
      </c>
      <c r="D67" s="3">
        <v>1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7">
        <v>200</v>
      </c>
      <c r="M67" s="7">
        <v>0</v>
      </c>
      <c r="N67" s="3">
        <v>0</v>
      </c>
      <c r="O67" s="21" t="s">
        <v>380</v>
      </c>
      <c r="P67" s="12"/>
      <c r="Q67" s="13"/>
      <c r="R67" s="26" t="s">
        <v>373</v>
      </c>
      <c r="S67" s="5"/>
    </row>
    <row r="68" spans="1:19" x14ac:dyDescent="0.25">
      <c r="A68" s="8" t="s">
        <v>545</v>
      </c>
      <c r="B68" s="3">
        <v>0</v>
      </c>
      <c r="C68" s="3">
        <v>0</v>
      </c>
      <c r="D68" s="3">
        <v>1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7">
        <v>3000</v>
      </c>
      <c r="M68" s="7">
        <v>0</v>
      </c>
      <c r="N68" s="3">
        <v>0</v>
      </c>
      <c r="O68" s="21" t="s">
        <v>381</v>
      </c>
      <c r="P68" s="12"/>
      <c r="Q68" s="13"/>
      <c r="R68" s="26" t="s">
        <v>373</v>
      </c>
      <c r="S68" s="5"/>
    </row>
    <row r="69" spans="1:19" x14ac:dyDescent="0.25">
      <c r="A69" s="8" t="s">
        <v>0</v>
      </c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N11" sqref="N11"/>
    </sheetView>
  </sheetViews>
  <sheetFormatPr defaultRowHeight="13.2" x14ac:dyDescent="0.25"/>
  <cols>
    <col min="2" max="11" width="7.6640625" customWidth="1"/>
    <col min="15" max="15" width="21" customWidth="1"/>
    <col min="20" max="20" width="25" customWidth="1"/>
  </cols>
  <sheetData>
    <row r="1" spans="1:20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  <c r="S1" s="5"/>
    </row>
    <row r="2" spans="1:20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20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20" x14ac:dyDescent="0.25">
      <c r="A4" s="8" t="s">
        <v>546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10</v>
      </c>
      <c r="M4" s="7">
        <v>0</v>
      </c>
      <c r="N4" s="3">
        <v>1</v>
      </c>
      <c r="O4" s="22" t="s">
        <v>250</v>
      </c>
      <c r="P4" s="12"/>
      <c r="Q4" s="12"/>
      <c r="R4" s="13"/>
      <c r="S4" s="5"/>
      <c r="T4" t="s">
        <v>279</v>
      </c>
    </row>
    <row r="5" spans="1:20" x14ac:dyDescent="0.25">
      <c r="A5" s="8" t="s">
        <v>547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7">
        <f>MOTOR0!N15</f>
        <v>1300</v>
      </c>
      <c r="M5" s="7">
        <f>-L5</f>
        <v>-1300</v>
      </c>
      <c r="N5" s="3">
        <v>0</v>
      </c>
      <c r="O5" s="22" t="s">
        <v>251</v>
      </c>
      <c r="P5" s="12"/>
      <c r="Q5" s="12" t="s">
        <v>277</v>
      </c>
      <c r="R5" s="13"/>
      <c r="S5" s="5"/>
      <c r="T5" s="25"/>
    </row>
    <row r="6" spans="1:20" x14ac:dyDescent="0.25">
      <c r="A6" s="8" t="s">
        <v>548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7">
        <f>MOTOR0!N12</f>
        <v>330</v>
      </c>
      <c r="M6" s="7">
        <f>-L6</f>
        <v>-330</v>
      </c>
      <c r="N6" s="3">
        <v>0</v>
      </c>
      <c r="O6" s="22" t="s">
        <v>254</v>
      </c>
      <c r="P6" s="12"/>
      <c r="Q6" s="12" t="s">
        <v>158</v>
      </c>
      <c r="R6" s="13"/>
      <c r="S6" s="5"/>
    </row>
    <row r="7" spans="1:20" x14ac:dyDescent="0.25">
      <c r="A7" s="8" t="s">
        <v>549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7">
        <v>500</v>
      </c>
      <c r="M7" s="7">
        <v>-500</v>
      </c>
      <c r="N7" s="3">
        <v>0</v>
      </c>
      <c r="O7" s="22" t="s">
        <v>385</v>
      </c>
      <c r="P7" s="12"/>
      <c r="Q7" s="12" t="s">
        <v>386</v>
      </c>
      <c r="R7" s="13"/>
      <c r="S7" s="5"/>
    </row>
    <row r="8" spans="1:20" x14ac:dyDescent="0.25">
      <c r="A8" s="8" t="s">
        <v>550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1</v>
      </c>
      <c r="M8" s="7">
        <v>0</v>
      </c>
      <c r="N8" s="3">
        <v>1</v>
      </c>
      <c r="O8" s="22" t="s">
        <v>255</v>
      </c>
      <c r="P8" s="12"/>
      <c r="Q8" s="12"/>
      <c r="R8" s="13"/>
      <c r="S8" s="5"/>
      <c r="T8" t="s">
        <v>306</v>
      </c>
    </row>
    <row r="9" spans="1:20" x14ac:dyDescent="0.25">
      <c r="A9" s="8" t="s">
        <v>551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7">
        <v>4</v>
      </c>
      <c r="M9" s="7">
        <v>-1</v>
      </c>
      <c r="N9" s="3">
        <v>0</v>
      </c>
      <c r="O9" s="22" t="s">
        <v>422</v>
      </c>
      <c r="P9" s="12"/>
      <c r="Q9" s="12"/>
      <c r="R9" s="13"/>
      <c r="S9" s="5"/>
      <c r="T9" s="33" t="s">
        <v>424</v>
      </c>
    </row>
    <row r="10" spans="1:20" x14ac:dyDescent="0.25">
      <c r="A10" s="8" t="s">
        <v>552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7">
        <v>2</v>
      </c>
      <c r="M10" s="7">
        <v>-1</v>
      </c>
      <c r="N10" s="3">
        <v>0</v>
      </c>
      <c r="O10" s="22" t="s">
        <v>423</v>
      </c>
      <c r="P10" s="12"/>
      <c r="Q10" s="12"/>
      <c r="R10" s="13"/>
      <c r="S10" s="5"/>
      <c r="T10" s="33" t="s">
        <v>424</v>
      </c>
    </row>
    <row r="11" spans="1:20" x14ac:dyDescent="0.25">
      <c r="A11" s="8" t="s">
        <v>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2"/>
      <c r="Q11" s="13"/>
      <c r="R11" s="13"/>
      <c r="S11" s="5"/>
    </row>
    <row r="12" spans="1:20" x14ac:dyDescent="0.25">
      <c r="B12" s="31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C4" sqref="C4:C11"/>
    </sheetView>
  </sheetViews>
  <sheetFormatPr defaultRowHeight="13.2" x14ac:dyDescent="0.25"/>
  <cols>
    <col min="2" max="11" width="7.6640625" customWidth="1"/>
  </cols>
  <sheetData>
    <row r="1" spans="1:19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  <c r="S1" s="5"/>
    </row>
    <row r="2" spans="1:19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19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19" x14ac:dyDescent="0.25">
      <c r="A4" s="8" t="s">
        <v>553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7">
        <v>32767</v>
      </c>
      <c r="M4" s="7">
        <v>-32768</v>
      </c>
      <c r="N4" s="3">
        <v>0</v>
      </c>
      <c r="O4" s="22" t="s">
        <v>265</v>
      </c>
      <c r="P4" s="12"/>
      <c r="Q4" s="12" t="s">
        <v>272</v>
      </c>
      <c r="R4" s="13"/>
      <c r="S4" s="5"/>
    </row>
    <row r="5" spans="1:19" x14ac:dyDescent="0.25">
      <c r="A5" s="8" t="s">
        <v>554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7">
        <v>32767</v>
      </c>
      <c r="M5" s="7">
        <v>-32768</v>
      </c>
      <c r="N5" s="3">
        <v>0</v>
      </c>
      <c r="O5" s="22" t="s">
        <v>263</v>
      </c>
      <c r="P5" s="12"/>
      <c r="Q5" s="12" t="s">
        <v>280</v>
      </c>
      <c r="R5" s="13"/>
      <c r="S5" s="5"/>
    </row>
    <row r="6" spans="1:19" x14ac:dyDescent="0.25">
      <c r="A6" s="8" t="s">
        <v>555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7">
        <v>32767</v>
      </c>
      <c r="M6" s="7">
        <v>-32768</v>
      </c>
      <c r="N6" s="3">
        <v>0</v>
      </c>
      <c r="O6" s="22" t="s">
        <v>266</v>
      </c>
      <c r="P6" s="12"/>
      <c r="Q6" s="12" t="s">
        <v>273</v>
      </c>
      <c r="R6" s="13"/>
      <c r="S6" s="5"/>
    </row>
    <row r="7" spans="1:19" x14ac:dyDescent="0.25">
      <c r="A7" s="8" t="s">
        <v>556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7">
        <v>32767</v>
      </c>
      <c r="M7" s="7">
        <v>-32768</v>
      </c>
      <c r="N7" s="3">
        <v>0</v>
      </c>
      <c r="O7" s="22" t="s">
        <v>269</v>
      </c>
      <c r="P7" s="12"/>
      <c r="Q7" s="12" t="s">
        <v>274</v>
      </c>
      <c r="R7" s="13"/>
      <c r="S7" s="5"/>
    </row>
    <row r="8" spans="1:19" x14ac:dyDescent="0.25">
      <c r="A8" s="8" t="s">
        <v>557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7">
        <v>32767</v>
      </c>
      <c r="M8" s="7">
        <v>-32768</v>
      </c>
      <c r="N8" s="3">
        <v>0</v>
      </c>
      <c r="O8" s="22" t="s">
        <v>267</v>
      </c>
      <c r="P8" s="12"/>
      <c r="Q8" s="12" t="s">
        <v>280</v>
      </c>
      <c r="R8" s="13"/>
      <c r="S8" s="5"/>
    </row>
    <row r="9" spans="1:19" x14ac:dyDescent="0.25">
      <c r="A9" s="8" t="s">
        <v>558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7">
        <v>32767</v>
      </c>
      <c r="M9" s="7">
        <v>-32768</v>
      </c>
      <c r="N9" s="3">
        <v>0</v>
      </c>
      <c r="O9" s="22" t="s">
        <v>268</v>
      </c>
      <c r="P9" s="12"/>
      <c r="Q9" s="12" t="s">
        <v>275</v>
      </c>
      <c r="R9" s="13"/>
      <c r="S9" s="5"/>
    </row>
    <row r="10" spans="1:19" x14ac:dyDescent="0.25">
      <c r="A10" s="8" t="s">
        <v>559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7">
        <v>32767</v>
      </c>
      <c r="M10" s="7">
        <v>-32768</v>
      </c>
      <c r="N10" s="3">
        <v>0</v>
      </c>
      <c r="O10" s="22" t="s">
        <v>264</v>
      </c>
      <c r="P10" s="12"/>
      <c r="Q10" s="12"/>
      <c r="R10" s="13"/>
      <c r="S10" s="5"/>
    </row>
    <row r="11" spans="1:19" x14ac:dyDescent="0.25">
      <c r="A11" s="8" t="s">
        <v>631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7">
        <v>32767</v>
      </c>
      <c r="M11" s="7">
        <v>-32768</v>
      </c>
      <c r="N11" s="3">
        <v>0</v>
      </c>
      <c r="O11" s="22" t="s">
        <v>632</v>
      </c>
      <c r="P11" s="12"/>
      <c r="Q11" s="12"/>
      <c r="R11" s="13"/>
      <c r="S11" s="5"/>
    </row>
    <row r="12" spans="1:19" x14ac:dyDescent="0.25">
      <c r="A12" s="8" t="s">
        <v>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2"/>
      <c r="Q12" s="13"/>
      <c r="R12" s="13"/>
      <c r="S12" s="5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workbookViewId="0">
      <selection activeCell="Q24" sqref="Q24"/>
    </sheetView>
  </sheetViews>
  <sheetFormatPr defaultRowHeight="13.2" x14ac:dyDescent="0.25"/>
  <cols>
    <col min="2" max="11" width="7.6640625" customWidth="1"/>
    <col min="15" max="15" width="19.44140625" customWidth="1"/>
  </cols>
  <sheetData>
    <row r="1" spans="1:20" x14ac:dyDescent="0.25">
      <c r="A1" s="38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18" t="s">
        <v>100</v>
      </c>
      <c r="P1" s="41" t="s">
        <v>25</v>
      </c>
      <c r="Q1" s="42"/>
      <c r="R1" s="42"/>
      <c r="S1" s="5"/>
    </row>
    <row r="2" spans="1:20" x14ac:dyDescent="0.25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19" t="s">
        <v>103</v>
      </c>
      <c r="P2" s="17" t="s">
        <v>22</v>
      </c>
      <c r="Q2" s="17" t="s">
        <v>22</v>
      </c>
      <c r="R2" s="17" t="s">
        <v>22</v>
      </c>
      <c r="S2" s="5"/>
    </row>
    <row r="3" spans="1:20" x14ac:dyDescent="0.15">
      <c r="A3" s="9" t="s">
        <v>1</v>
      </c>
      <c r="B3" s="1" t="s">
        <v>12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9</v>
      </c>
      <c r="H3" s="1" t="s">
        <v>10</v>
      </c>
      <c r="I3" s="1" t="s">
        <v>11</v>
      </c>
      <c r="J3" s="1" t="s">
        <v>29</v>
      </c>
      <c r="K3" s="2" t="s">
        <v>17</v>
      </c>
      <c r="L3" s="1" t="s">
        <v>2</v>
      </c>
      <c r="M3" s="1" t="s">
        <v>3</v>
      </c>
      <c r="N3" s="1" t="s">
        <v>4</v>
      </c>
      <c r="O3" s="20" t="s">
        <v>102</v>
      </c>
      <c r="P3" s="11" t="s">
        <v>19</v>
      </c>
      <c r="Q3" s="11" t="s">
        <v>20</v>
      </c>
      <c r="R3" s="11" t="s">
        <v>21</v>
      </c>
      <c r="S3" s="6" t="s">
        <v>13</v>
      </c>
    </row>
    <row r="4" spans="1:20" x14ac:dyDescent="0.25">
      <c r="A4" s="8" t="s">
        <v>560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7">
        <v>1300</v>
      </c>
      <c r="M4" s="7">
        <v>0</v>
      </c>
      <c r="N4" s="3">
        <v>1200</v>
      </c>
      <c r="O4" s="22" t="s">
        <v>629</v>
      </c>
      <c r="P4" s="12"/>
      <c r="Q4" s="12" t="s">
        <v>75</v>
      </c>
      <c r="R4" s="13"/>
      <c r="S4" s="5"/>
    </row>
    <row r="5" spans="1:20" x14ac:dyDescent="0.25">
      <c r="A5" s="8" t="s">
        <v>561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7">
        <v>1300</v>
      </c>
      <c r="M5" s="7">
        <v>0</v>
      </c>
      <c r="N5" s="3">
        <v>300</v>
      </c>
      <c r="O5" s="22" t="s">
        <v>630</v>
      </c>
      <c r="P5" s="12"/>
      <c r="Q5" s="12" t="s">
        <v>75</v>
      </c>
      <c r="R5" s="13"/>
      <c r="S5" s="5"/>
      <c r="T5" s="25"/>
    </row>
    <row r="6" spans="1:20" x14ac:dyDescent="0.25">
      <c r="A6" s="8" t="s">
        <v>562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7">
        <v>1000</v>
      </c>
      <c r="M6" s="7">
        <v>0</v>
      </c>
      <c r="N6" s="3">
        <v>999</v>
      </c>
      <c r="O6" s="22" t="s">
        <v>623</v>
      </c>
      <c r="P6" s="12"/>
      <c r="Q6" s="35">
        <v>1E-3</v>
      </c>
      <c r="R6" s="13"/>
      <c r="S6" s="5"/>
    </row>
    <row r="7" spans="1:20" x14ac:dyDescent="0.25">
      <c r="A7" s="8" t="s">
        <v>563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7">
        <v>1000</v>
      </c>
      <c r="M7" s="7">
        <v>0</v>
      </c>
      <c r="N7" s="3">
        <v>150</v>
      </c>
      <c r="O7" s="22" t="s">
        <v>624</v>
      </c>
      <c r="P7" s="12"/>
      <c r="Q7" s="35">
        <v>1E-3</v>
      </c>
      <c r="R7" s="13"/>
      <c r="S7" s="5"/>
    </row>
    <row r="8" spans="1:20" x14ac:dyDescent="0.25">
      <c r="A8" s="8" t="s">
        <v>564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7">
        <v>1000</v>
      </c>
      <c r="M8" s="7">
        <v>0</v>
      </c>
      <c r="N8" s="3">
        <v>200</v>
      </c>
      <c r="O8" s="22" t="s">
        <v>625</v>
      </c>
      <c r="P8" s="12"/>
      <c r="Q8" s="35">
        <v>1E-3</v>
      </c>
      <c r="R8" s="13"/>
      <c r="S8" s="5"/>
    </row>
    <row r="9" spans="1:20" x14ac:dyDescent="0.25">
      <c r="A9" s="8" t="s">
        <v>565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7">
        <v>1000</v>
      </c>
      <c r="M9" s="7">
        <v>0</v>
      </c>
      <c r="N9" s="3">
        <v>150</v>
      </c>
      <c r="O9" s="22" t="s">
        <v>626</v>
      </c>
      <c r="P9" s="12"/>
      <c r="Q9" s="35">
        <v>1E-3</v>
      </c>
      <c r="R9" s="13"/>
      <c r="S9" s="5"/>
    </row>
    <row r="10" spans="1:20" x14ac:dyDescent="0.25">
      <c r="A10" s="8" t="s">
        <v>610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7">
        <v>200</v>
      </c>
      <c r="M10" s="7">
        <v>40</v>
      </c>
      <c r="N10" s="3">
        <v>63</v>
      </c>
      <c r="O10" s="22" t="s">
        <v>627</v>
      </c>
      <c r="P10" s="12"/>
      <c r="Q10" s="28" t="s">
        <v>621</v>
      </c>
      <c r="R10" s="13"/>
      <c r="S10" s="5"/>
    </row>
    <row r="11" spans="1:20" x14ac:dyDescent="0.25">
      <c r="A11" s="8" t="s">
        <v>611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7">
        <v>200</v>
      </c>
      <c r="M11" s="7">
        <v>40</v>
      </c>
      <c r="N11" s="3">
        <v>97</v>
      </c>
      <c r="O11" s="22" t="s">
        <v>628</v>
      </c>
      <c r="P11" s="12"/>
      <c r="Q11" s="28" t="s">
        <v>621</v>
      </c>
      <c r="R11" s="13"/>
      <c r="S11" s="5"/>
    </row>
    <row r="12" spans="1:20" x14ac:dyDescent="0.25">
      <c r="A12" s="8" t="s">
        <v>612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7">
        <v>200</v>
      </c>
      <c r="M12" s="7">
        <v>40</v>
      </c>
      <c r="N12" s="3">
        <v>60</v>
      </c>
      <c r="O12" s="22" t="s">
        <v>616</v>
      </c>
      <c r="P12" s="12"/>
      <c r="Q12" s="28" t="s">
        <v>621</v>
      </c>
      <c r="R12" s="13"/>
      <c r="S12" s="5"/>
    </row>
    <row r="13" spans="1:20" x14ac:dyDescent="0.25">
      <c r="A13" s="8" t="s">
        <v>613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7">
        <v>1000</v>
      </c>
      <c r="M13" s="7">
        <v>0</v>
      </c>
      <c r="N13" s="3">
        <v>500</v>
      </c>
      <c r="O13" s="22" t="s">
        <v>622</v>
      </c>
      <c r="P13" s="12"/>
      <c r="Q13" s="35">
        <v>1E-3</v>
      </c>
      <c r="R13" s="13"/>
      <c r="S13" s="5"/>
    </row>
    <row r="14" spans="1:20" x14ac:dyDescent="0.25">
      <c r="A14" s="8" t="s">
        <v>614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7">
        <v>1000</v>
      </c>
      <c r="M14" s="7">
        <v>0</v>
      </c>
      <c r="N14" s="3">
        <v>1000</v>
      </c>
      <c r="O14" s="22" t="s">
        <v>618</v>
      </c>
      <c r="P14" s="12"/>
      <c r="Q14" s="28" t="s">
        <v>617</v>
      </c>
      <c r="R14" s="13"/>
      <c r="S14" s="5"/>
    </row>
    <row r="15" spans="1:20" x14ac:dyDescent="0.25">
      <c r="A15" s="8" t="s">
        <v>615</v>
      </c>
      <c r="B15" s="3">
        <v>0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7">
        <v>1300</v>
      </c>
      <c r="M15" s="7">
        <v>0</v>
      </c>
      <c r="N15" s="3">
        <v>500</v>
      </c>
      <c r="O15" s="22" t="s">
        <v>619</v>
      </c>
      <c r="P15" s="12"/>
      <c r="Q15" s="28" t="s">
        <v>620</v>
      </c>
      <c r="R15" s="13"/>
      <c r="S15" s="5"/>
    </row>
    <row r="16" spans="1:20" x14ac:dyDescent="0.25">
      <c r="A16" s="8" t="s">
        <v>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2"/>
      <c r="Q16" s="13"/>
      <c r="R16" s="13"/>
      <c r="S16" s="5"/>
    </row>
  </sheetData>
  <mergeCells count="3">
    <mergeCell ref="A1:N1"/>
    <mergeCell ref="P1:R1"/>
    <mergeCell ref="A2:N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Settings</vt:lpstr>
      <vt:lpstr>BASE</vt:lpstr>
      <vt:lpstr>MOTOR0</vt:lpstr>
      <vt:lpstr>MOTOR1</vt:lpstr>
      <vt:lpstr>MOTOR2</vt:lpstr>
      <vt:lpstr>MOTOR3</vt:lpstr>
      <vt:lpstr>INV</vt:lpstr>
      <vt:lpstr>ALARM</vt:lpstr>
      <vt:lpstr>CTRL</vt:lpstr>
      <vt:lpstr>SYS</vt:lpstr>
      <vt:lpstr>USER</vt:lpstr>
      <vt:lpstr>CMD</vt:lpstr>
      <vt:lpstr>STATUS</vt:lpstr>
      <vt:lpstr>PWM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Lifan 肖力凡</dc:creator>
  <cp:lastModifiedBy>Midea</cp:lastModifiedBy>
  <dcterms:created xsi:type="dcterms:W3CDTF">2023-03-02T07:04:28Z</dcterms:created>
  <dcterms:modified xsi:type="dcterms:W3CDTF">2025-07-09T08:23:19Z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9059CE971D974830A52C4F3C56590158</vt:lpwstr>
  </property>
  <property fmtid="{D5CDD505-2E9C-101B-9397-08002B2CF9AE}" pid="3" name="KSOProductBuildVer">
    <vt:lpwstr>2052-11.1.0.13703</vt:lpwstr>
  </property>
</Properties>
</file>